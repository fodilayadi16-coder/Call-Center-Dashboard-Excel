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ministrator\Desktop\Call-Center-KPI-Dashboard\"/>
    </mc:Choice>
  </mc:AlternateContent>
  <xr:revisionPtr revIDLastSave="0" documentId="13_ncr:1_{6690AB55-E970-4DE8-BF35-FF0E393796ED}" xr6:coauthVersionLast="47" xr6:coauthVersionMax="47" xr10:uidLastSave="{00000000-0000-0000-0000-000000000000}"/>
  <bookViews>
    <workbookView xWindow="-120" yWindow="-120" windowWidth="29040" windowHeight="15720" xr2:uid="{26D4546B-D2A1-4444-8EAF-A6228F96F0C1}"/>
  </bookViews>
  <sheets>
    <sheet name="Raw Data" sheetId="2" r:id="rId1"/>
    <sheet name="Call Table" sheetId="4" r:id="rId2"/>
    <sheet name="Customer Table" sheetId="11" r:id="rId3"/>
    <sheet name="Calculations" sheetId="8" r:id="rId4"/>
    <sheet name="Pivot Tables" sheetId="5" r:id="rId5"/>
    <sheet name="Dashboard Portfolio" sheetId="16" r:id="rId6"/>
    <sheet name="Dashboard Pivots" sheetId="14" r:id="rId7"/>
    <sheet name="Icons" sheetId="17" r:id="rId8"/>
  </sheets>
  <definedNames>
    <definedName name="_xlnm._FilterDatabase" localSheetId="3" hidden="1">Calculations!$E$93:$K$109</definedName>
    <definedName name="_xlnm._FilterDatabase" localSheetId="0" hidden="1">'Raw Data'!$B$3:$H$1003</definedName>
    <definedName name="_xlcn.WorksheetConnection_Calls_Centre_KPI_dashboard.xlsxcalls_2" hidden="1">calls_2[]</definedName>
    <definedName name="_xlcn.WorksheetConnection_Calls_Centre_KPI_dashboard.xlsxTable4" hidden="1">customers[]</definedName>
    <definedName name="ExternalData_1" localSheetId="1" hidden="1">'Call Table'!$A$1:$O$997</definedName>
    <definedName name="Slicer_Representative">#N/A</definedName>
    <definedName name="Slicer_Representative1">#N/A</definedName>
    <definedName name="Slicer_Representative2">#N/A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Calls_Centre_KPI_dashboard.xlsx!Table4"/>
          <x15:modelTable id="calls_2" name="calls_2" connection="WorksheetConnection_Calls_Centre_KPI_dashboard.xlsx!calls_2"/>
        </x15:modelTables>
        <x15:modelRelationships>
          <x15:modelRelationship fromTable="calls_2" fromColumn="Customer_ID" toTable="Table4" toColumn="Customer ID"/>
        </x15:modelRelationships>
        <x15:extLst>
          <ext xmlns:x16="http://schemas.microsoft.com/office/spreadsheetml/2014/11/main" uri="{9835A34E-60A6-4A7C-AAB8-D5F71C897F49}">
            <x16:modelTimeGroupings>
              <x16:modelTimeGrouping tableName="calls_2" columnName="Call_Date" columnId="Call_Date">
                <x16:calculatedTimeColumn columnName="Call_Date (Month Index)" columnId="Call_Date (Month Index)" contentType="monthsindex" isSelected="1"/>
                <x16:calculatedTimeColumn columnName="Call_Date (Month)" columnId="Call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 i="16" l="1"/>
  <c r="R17" i="16"/>
  <c r="S17" i="16"/>
  <c r="T17" i="16"/>
  <c r="U17" i="16"/>
  <c r="P18" i="16"/>
  <c r="P19" i="16"/>
  <c r="Q19" i="16"/>
  <c r="R19" i="16"/>
  <c r="S19" i="16"/>
  <c r="T19" i="16"/>
  <c r="U19" i="16"/>
  <c r="V19" i="16"/>
  <c r="P20" i="16"/>
  <c r="Q20" i="16"/>
  <c r="R20" i="16"/>
  <c r="S20" i="16"/>
  <c r="T20" i="16"/>
  <c r="U20" i="16"/>
  <c r="V20" i="16"/>
  <c r="P21" i="16"/>
  <c r="Q21" i="16"/>
  <c r="R21" i="16"/>
  <c r="S21" i="16"/>
  <c r="T21" i="16"/>
  <c r="U21" i="16"/>
  <c r="V21" i="16"/>
  <c r="P22" i="16"/>
  <c r="Q22" i="16"/>
  <c r="R22" i="16"/>
  <c r="S22" i="16"/>
  <c r="T22" i="16"/>
  <c r="U22" i="16"/>
  <c r="V22" i="16"/>
  <c r="P23" i="16"/>
  <c r="P24" i="16"/>
  <c r="Q24" i="16"/>
  <c r="R24" i="16"/>
  <c r="S24" i="16"/>
  <c r="T24" i="16"/>
  <c r="U24" i="16"/>
  <c r="V24" i="16"/>
  <c r="P25" i="16"/>
  <c r="Q25" i="16"/>
  <c r="R25" i="16"/>
  <c r="S25" i="16"/>
  <c r="T25" i="16"/>
  <c r="U25" i="16"/>
  <c r="V25" i="16"/>
  <c r="P26" i="16"/>
  <c r="Q26" i="16"/>
  <c r="R26" i="16"/>
  <c r="S26" i="16"/>
  <c r="T26" i="16"/>
  <c r="U26" i="16"/>
  <c r="V26" i="16"/>
  <c r="P27" i="16"/>
  <c r="Q27" i="16"/>
  <c r="R27" i="16"/>
  <c r="S27" i="16"/>
  <c r="T27" i="16"/>
  <c r="U27" i="16"/>
  <c r="V27" i="16"/>
  <c r="P28" i="16"/>
  <c r="Q28" i="16"/>
  <c r="R28" i="16"/>
  <c r="S28" i="16"/>
  <c r="T28" i="16"/>
  <c r="U28" i="16"/>
  <c r="V28" i="16"/>
  <c r="P29" i="16"/>
  <c r="Q29" i="16"/>
  <c r="R29" i="16"/>
  <c r="S29" i="16"/>
  <c r="T29" i="16"/>
  <c r="U29" i="16"/>
  <c r="V29" i="16"/>
  <c r="P30" i="16"/>
  <c r="P31" i="16"/>
  <c r="Q31" i="16"/>
  <c r="R31" i="16"/>
  <c r="S31" i="16"/>
  <c r="T31" i="16"/>
  <c r="U31" i="16"/>
  <c r="V31" i="16"/>
  <c r="P32" i="16"/>
  <c r="Q32" i="16"/>
  <c r="R32" i="16"/>
  <c r="S32" i="16"/>
  <c r="T32" i="16"/>
  <c r="U32" i="16"/>
  <c r="V32" i="16"/>
  <c r="P33" i="16"/>
  <c r="Q33" i="16"/>
  <c r="R33" i="16"/>
  <c r="S33" i="16"/>
  <c r="T33" i="16"/>
  <c r="U33" i="16"/>
  <c r="V33" i="16"/>
  <c r="P34" i="16"/>
  <c r="Q34" i="16"/>
  <c r="R34" i="16"/>
  <c r="S34" i="16"/>
  <c r="T34" i="16"/>
  <c r="U34" i="16"/>
  <c r="V34" i="16"/>
  <c r="P35" i="16"/>
  <c r="Q35" i="16"/>
  <c r="R35" i="16"/>
  <c r="S35" i="16"/>
  <c r="T35" i="16"/>
  <c r="U35" i="16"/>
  <c r="V35" i="16"/>
  <c r="J38" i="14"/>
  <c r="F41" i="14" a="1"/>
  <c r="F41" i="14" s="1"/>
  <c r="B119" i="8"/>
  <c r="B118" i="8"/>
  <c r="B117" i="8"/>
  <c r="B116" i="8"/>
  <c r="E95" i="8" a="1"/>
  <c r="E95" i="8" s="1"/>
  <c r="F95" i="8" s="1"/>
  <c r="A95" i="8" a="1"/>
  <c r="A95" i="8" s="1"/>
  <c r="B95" i="8" s="1"/>
  <c r="E75" i="8" a="1"/>
  <c r="E75" i="8" s="1"/>
  <c r="H75" i="8" s="1"/>
  <c r="A75" i="8" a="1"/>
  <c r="A75" i="8" s="1"/>
  <c r="B75" i="8" s="1"/>
  <c r="A64" i="8" a="1"/>
  <c r="B68" i="8" s="1"/>
  <c r="E44" i="8" a="1"/>
  <c r="E44" i="8" s="1"/>
  <c r="A44" i="8" a="1"/>
  <c r="A44" i="8" s="1"/>
  <c r="B44" i="8" s="1"/>
  <c r="H24" i="8" a="1"/>
  <c r="H24" i="8" s="1"/>
  <c r="I24" i="8" s="1"/>
  <c r="D24" i="8" a="1"/>
  <c r="D24" i="8" s="1"/>
  <c r="E24" i="8" s="1"/>
  <c r="A24" i="8" a="1"/>
  <c r="A24" i="8" s="1"/>
  <c r="B24" i="8" s="1"/>
  <c r="A5" i="8" a="1"/>
  <c r="A5" i="8" s="1"/>
  <c r="C5" i="8" s="1"/>
  <c r="I152" i="5"/>
  <c r="F152" i="5"/>
  <c r="I153" i="5"/>
  <c r="I154" i="5"/>
  <c r="I155" i="5"/>
  <c r="I156" i="5"/>
  <c r="I157" i="5"/>
  <c r="I158" i="5"/>
  <c r="I159" i="5"/>
  <c r="I160" i="5"/>
  <c r="I161" i="5"/>
  <c r="I162" i="5"/>
  <c r="I163" i="5"/>
  <c r="I164" i="5"/>
  <c r="I165" i="5"/>
  <c r="I166" i="5"/>
  <c r="F153" i="5"/>
  <c r="F154" i="5"/>
  <c r="F155" i="5"/>
  <c r="F156" i="5"/>
  <c r="F157" i="5"/>
  <c r="F158" i="5"/>
  <c r="F159" i="5"/>
  <c r="F160" i="5"/>
  <c r="F161" i="5"/>
  <c r="F162" i="5"/>
  <c r="F163" i="5"/>
  <c r="F164" i="5"/>
  <c r="F165" i="5"/>
  <c r="F166" i="5"/>
  <c r="H152" i="5"/>
  <c r="G159" i="5"/>
  <c r="H160" i="5"/>
  <c r="H166" i="5"/>
  <c r="H153" i="5"/>
  <c r="H159" i="5"/>
  <c r="H162" i="5"/>
  <c r="H165" i="5"/>
  <c r="G165" i="5"/>
  <c r="G154" i="5"/>
  <c r="G153" i="5"/>
  <c r="H157" i="5"/>
  <c r="H163" i="5"/>
  <c r="H154" i="5"/>
  <c r="G166" i="5"/>
  <c r="H158" i="5"/>
  <c r="H164" i="5"/>
  <c r="G155" i="5"/>
  <c r="G160" i="5"/>
  <c r="H156" i="5"/>
  <c r="G157" i="5"/>
  <c r="H155" i="5"/>
  <c r="H161" i="5"/>
  <c r="G162" i="5"/>
  <c r="G164" i="5"/>
  <c r="G152" i="5"/>
  <c r="G156" i="5"/>
  <c r="G161" i="5"/>
  <c r="G163" i="5"/>
  <c r="G158" i="5"/>
  <c r="J42" i="14" l="1"/>
  <c r="I41" i="14"/>
  <c r="I45" i="14"/>
  <c r="I44" i="14"/>
  <c r="I43" i="14"/>
  <c r="I42" i="14"/>
  <c r="J41" i="14"/>
  <c r="J45" i="14"/>
  <c r="J44" i="14"/>
  <c r="J43" i="14"/>
  <c r="G106" i="8"/>
  <c r="F109" i="8"/>
  <c r="G108" i="8"/>
  <c r="F107" i="8"/>
  <c r="F103" i="8"/>
  <c r="G101" i="8"/>
  <c r="F105" i="8"/>
  <c r="G104" i="8"/>
  <c r="G102" i="8"/>
  <c r="F102" i="8"/>
  <c r="G99" i="8"/>
  <c r="F101" i="8"/>
  <c r="G100" i="8"/>
  <c r="F100" i="8"/>
  <c r="F99" i="8"/>
  <c r="G96" i="8"/>
  <c r="G95" i="8"/>
  <c r="B99" i="8"/>
  <c r="G98" i="8"/>
  <c r="B98" i="8"/>
  <c r="F98" i="8"/>
  <c r="G97" i="8"/>
  <c r="B97" i="8"/>
  <c r="F97" i="8"/>
  <c r="B96" i="8"/>
  <c r="F96" i="8"/>
  <c r="G109" i="8"/>
  <c r="F108" i="8"/>
  <c r="G107" i="8"/>
  <c r="F75" i="8"/>
  <c r="F106" i="8"/>
  <c r="G105" i="8"/>
  <c r="F104" i="8"/>
  <c r="G103" i="8"/>
  <c r="G77" i="8"/>
  <c r="G76" i="8"/>
  <c r="G78" i="8"/>
  <c r="G75" i="8"/>
  <c r="H79" i="8"/>
  <c r="H78" i="8"/>
  <c r="H77" i="8"/>
  <c r="H76" i="8"/>
  <c r="G79" i="8"/>
  <c r="J75" i="8" a="1"/>
  <c r="J75" i="8" s="1"/>
  <c r="C44" i="8" a="1"/>
  <c r="C44" i="8" s="1"/>
  <c r="F44" i="8"/>
  <c r="B82" i="8"/>
  <c r="C13" i="8"/>
  <c r="F52" i="8" s="1"/>
  <c r="B80" i="8"/>
  <c r="B79" i="8"/>
  <c r="B78" i="8"/>
  <c r="B18" i="8"/>
  <c r="B16" i="8"/>
  <c r="C14" i="8"/>
  <c r="F53" i="8" s="1"/>
  <c r="I27" i="8"/>
  <c r="B47" i="8"/>
  <c r="C47" i="8" s="1" a="1"/>
  <c r="C47" i="8" s="1"/>
  <c r="B81" i="8"/>
  <c r="C12" i="8"/>
  <c r="B45" i="8"/>
  <c r="C45" i="8" s="1" a="1"/>
  <c r="C45" i="8" s="1"/>
  <c r="C11" i="8"/>
  <c r="F50" i="8" s="1"/>
  <c r="B12" i="8"/>
  <c r="B11" i="8"/>
  <c r="C9" i="8"/>
  <c r="F48" i="8" s="1"/>
  <c r="E32" i="8"/>
  <c r="B58" i="8"/>
  <c r="C58" i="8" s="1" a="1"/>
  <c r="C58" i="8" s="1"/>
  <c r="B77" i="8"/>
  <c r="B13" i="8"/>
  <c r="B10" i="8"/>
  <c r="C8" i="8"/>
  <c r="F47" i="8" s="1"/>
  <c r="E31" i="8"/>
  <c r="B57" i="8"/>
  <c r="C57" i="8" s="1" a="1"/>
  <c r="C57" i="8" s="1"/>
  <c r="B76" i="8"/>
  <c r="C10" i="8"/>
  <c r="F49" i="8" s="1"/>
  <c r="B9" i="8"/>
  <c r="C6" i="8"/>
  <c r="F45" i="8" s="1"/>
  <c r="B7" i="8"/>
  <c r="E27" i="8"/>
  <c r="B53" i="8"/>
  <c r="C53" i="8" s="1" a="1"/>
  <c r="C53" i="8" s="1"/>
  <c r="B88" i="8"/>
  <c r="B5" i="8"/>
  <c r="D5" i="8" s="1"/>
  <c r="C16" i="8"/>
  <c r="E37" i="8"/>
  <c r="B15" i="8"/>
  <c r="E36" i="8"/>
  <c r="I26" i="8"/>
  <c r="B46" i="8"/>
  <c r="C46" i="8" s="1" a="1"/>
  <c r="C46" i="8" s="1"/>
  <c r="B14" i="8"/>
  <c r="E35" i="8"/>
  <c r="I25" i="8"/>
  <c r="E34" i="8"/>
  <c r="E33" i="8"/>
  <c r="C7" i="8"/>
  <c r="F46" i="8" s="1"/>
  <c r="E30" i="8"/>
  <c r="B56" i="8"/>
  <c r="C56" i="8" s="1" a="1"/>
  <c r="C56" i="8" s="1"/>
  <c r="B8" i="8"/>
  <c r="E29" i="8"/>
  <c r="E28" i="8"/>
  <c r="B54" i="8"/>
  <c r="C54" i="8" s="1" a="1"/>
  <c r="C54" i="8" s="1"/>
  <c r="B28" i="8"/>
  <c r="C19" i="8"/>
  <c r="B27" i="8"/>
  <c r="E26" i="8"/>
  <c r="B52" i="8"/>
  <c r="C52" i="8" s="1" a="1"/>
  <c r="C52" i="8" s="1"/>
  <c r="B87" i="8"/>
  <c r="F79" i="8"/>
  <c r="C18" i="8"/>
  <c r="B26" i="8"/>
  <c r="E25" i="8"/>
  <c r="B51" i="8"/>
  <c r="C51" i="8" s="1" a="1"/>
  <c r="C51" i="8" s="1"/>
  <c r="B86" i="8"/>
  <c r="F78" i="8"/>
  <c r="B55" i="8"/>
  <c r="C55" i="8" s="1" a="1"/>
  <c r="C55" i="8" s="1"/>
  <c r="B89" i="8"/>
  <c r="B6" i="8"/>
  <c r="B19" i="8"/>
  <c r="C17" i="8"/>
  <c r="F56" i="8" s="1"/>
  <c r="B25" i="8"/>
  <c r="B50" i="8"/>
  <c r="C50" i="8" s="1" a="1"/>
  <c r="C50" i="8" s="1"/>
  <c r="B85" i="8"/>
  <c r="F77" i="8"/>
  <c r="B49" i="8"/>
  <c r="C49" i="8" s="1" a="1"/>
  <c r="C49" i="8" s="1"/>
  <c r="B84" i="8"/>
  <c r="F76" i="8"/>
  <c r="B17" i="8"/>
  <c r="C15" i="8"/>
  <c r="E38" i="8"/>
  <c r="I28" i="8"/>
  <c r="B48" i="8"/>
  <c r="C48" i="8" s="1" a="1"/>
  <c r="C48" i="8" s="1"/>
  <c r="B83" i="8"/>
  <c r="A64" i="8"/>
  <c r="B64" i="8" s="1"/>
  <c r="B67" i="8"/>
  <c r="B65" i="8"/>
  <c r="B66" i="8"/>
  <c r="I79" i="8" l="1"/>
  <c r="H109" i="8"/>
  <c r="D15" i="8"/>
  <c r="H100" i="8"/>
  <c r="H99" i="8"/>
  <c r="D12" i="8"/>
  <c r="C96" i="8"/>
  <c r="H101" i="8"/>
  <c r="H105" i="8"/>
  <c r="C97" i="8"/>
  <c r="H108" i="8"/>
  <c r="H96" i="8"/>
  <c r="H104" i="8"/>
  <c r="H106" i="8"/>
  <c r="H107" i="8"/>
  <c r="C67" i="8"/>
  <c r="I75" i="8"/>
  <c r="D19" i="8"/>
  <c r="I78" i="8"/>
  <c r="C99" i="8"/>
  <c r="I76" i="8"/>
  <c r="C95" i="8"/>
  <c r="H102" i="8"/>
  <c r="H97" i="8"/>
  <c r="C98" i="8"/>
  <c r="H98" i="8"/>
  <c r="F51" i="8"/>
  <c r="H95" i="8"/>
  <c r="D7" i="8"/>
  <c r="H103" i="8"/>
  <c r="I77" i="8"/>
  <c r="C64" i="8"/>
  <c r="D16" i="8"/>
  <c r="C66" i="8"/>
  <c r="C65" i="8"/>
  <c r="C68" i="8"/>
  <c r="C75" i="8" a="1"/>
  <c r="C75" i="8" s="1"/>
  <c r="F55" i="8"/>
  <c r="F58" i="8"/>
  <c r="D8" i="8"/>
  <c r="D14" i="8"/>
  <c r="F54" i="8"/>
  <c r="D18" i="8"/>
  <c r="D6" i="8"/>
  <c r="D9" i="8"/>
  <c r="D13" i="8"/>
  <c r="D17" i="8"/>
  <c r="F57" i="8"/>
  <c r="D10" i="8"/>
  <c r="D11" i="8"/>
  <c r="I95" i="8" l="1" a="1"/>
  <c r="I95"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ED6136-09B0-485A-988E-29E1B7B0A602}"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2" xr16:uid="{F49FC0DC-034D-4028-9BA1-EF63E8877BFA}"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3" xr16:uid="{92A94892-3093-46BB-8661-0A5C952973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5EB2A56-71D4-4304-B29B-7713F2FE4030}" name="WorksheetConnection_Calls_Centre_KPI_dashboard.xlsx!calls_2" type="102" refreshedVersion="8" minRefreshableVersion="5">
    <extLst>
      <ext xmlns:x15="http://schemas.microsoft.com/office/spreadsheetml/2010/11/main" uri="{DE250136-89BD-433C-8126-D09CA5730AF9}">
        <x15:connection id="calls_2">
          <x15:rangePr sourceName="_xlcn.WorksheetConnection_Calls_Centre_KPI_dashboard.xlsxcalls_2"/>
        </x15:connection>
      </ext>
    </extLst>
  </connection>
  <connection id="5" xr16:uid="{3382C81C-A64F-4BAC-A0B8-C1ADE2AD1888}" name="WorksheetConnection_Calls_Centre_KPI_dashboard.xlsx!Table4" type="102" refreshedVersion="8" minRefreshableVersion="5">
    <extLst>
      <ext xmlns:x15="http://schemas.microsoft.com/office/spreadsheetml/2010/11/main" uri="{DE250136-89BD-433C-8126-D09CA5730AF9}">
        <x15:connection id="Table4">
          <x15:rangePr sourceName="_xlcn.WorksheetConnection_Calls_Centre_KPI_dashboard.xlsxTable4"/>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<sst xmlns="http://schemas.openxmlformats.org/spreadsheetml/2006/main" count="9393" uniqueCount="1166">
  <si>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</si>
  <si>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</si>
  <si>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</si>
  <si>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</si>
  <si>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</si>
  <si>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</si>
  <si>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</si>
  <si>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</si>
  <si>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</si>
  <si>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</si>
  <si>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</si>
  <si>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</si>
  <si>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</si>
  <si>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</si>
  <si>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</si>
  <si>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</si>
  <si>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</si>
  <si>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</si>
  <si>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</si>
  <si>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</si>
  <si>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</si>
  <si>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</si>
  <si>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</si>
  <si>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</si>
  <si>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</si>
  <si>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</si>
  <si>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</si>
  <si>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</si>
  <si>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</si>
  <si>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</si>
  <si>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</si>
  <si>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</si>
  <si>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</si>
  <si>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</si>
  <si>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</si>
  <si>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</si>
  <si>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</si>
  <si>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</si>
  <si>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</si>
  <si>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</si>
  <si>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</si>
  <si>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</si>
  <si>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</si>
  <si>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</si>
  <si>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</si>
  <si>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</si>
  <si>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</si>
  <si>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</si>
  <si>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</si>
  <si>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</si>
  <si>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</si>
  <si>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</si>
  <si>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</si>
  <si>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</si>
  <si>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</si>
  <si>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</si>
  <si>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</si>
  <si>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</si>
  <si>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</si>
  <si>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</si>
  <si>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</si>
  <si>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</si>
  <si>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</si>
  <si>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</si>
  <si>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</si>
  <si>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</si>
  <si>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</si>
  <si>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</si>
  <si>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</si>
  <si>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</si>
  <si>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</si>
  <si>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</si>
  <si>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</si>
  <si>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</si>
  <si>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</si>
  <si>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</si>
  <si>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</si>
  <si>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</si>
  <si>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</si>
  <si>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</si>
  <si>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</si>
  <si>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</si>
  <si>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</si>
  <si>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</si>
  <si>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</si>
  <si>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</si>
  <si>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</si>
  <si>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</si>
  <si>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</si>
  <si>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</si>
  <si>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</si>
  <si>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</si>
  <si>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</si>
  <si>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</si>
  <si>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</si>
  <si>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</si>
  <si>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</si>
  <si>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</si>
  <si>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</si>
  <si>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</si>
  <si>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</si>
  <si>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</si>
  <si>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</si>
  <si>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</si>
  <si>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</si>
  <si>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</si>
  <si>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</si>
  <si>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</si>
  <si>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</si>
  <si>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</si>
  <si>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</si>
  <si>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</si>
  <si>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</si>
  <si>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</si>
  <si>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</si>
  <si>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</si>
  <si>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</si>
  <si>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</si>
  <si>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</si>
  <si>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</si>
  <si>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</si>
  <si>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</si>
  <si>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</si>
  <si>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</si>
  <si>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</si>
  <si>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</si>
  <si>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</si>
  <si>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</si>
  <si>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</si>
  <si>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</si>
  <si>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</si>
  <si>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</si>
  <si>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</si>
  <si>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</si>
  <si>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</si>
  <si>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</si>
  <si>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</si>
  <si>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</si>
  <si>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</si>
  <si>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</si>
  <si>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</si>
  <si>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</si>
  <si>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</si>
  <si>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</si>
  <si>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</si>
  <si>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</si>
  <si>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</si>
  <si>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</si>
  <si>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</si>
  <si>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</si>
  <si>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</si>
  <si>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</si>
  <si>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</si>
  <si>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</si>
  <si>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</si>
  <si>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</si>
  <si>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</si>
  <si>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</si>
  <si>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</si>
  <si>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</si>
  <si>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</si>
  <si>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</si>
  <si>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</si>
  <si>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</si>
  <si>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</si>
  <si>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</si>
  <si>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</si>
  <si>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</si>
  <si>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</si>
  <si>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</si>
  <si>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</si>
  <si>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</si>
  <si>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</si>
  <si>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</si>
  <si>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</si>
  <si>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</si>
  <si>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</si>
  <si>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</si>
  <si>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</si>
  <si>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</si>
  <si>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</si>
  <si>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</si>
  <si>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</si>
  <si>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</si>
  <si>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</si>
  <si>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</si>
  <si>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</si>
  <si>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</si>
  <si>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</si>
  <si>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</si>
  <si>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</si>
  <si>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</si>
  <si>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</si>
  <si>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</si>
  <si>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</si>
  <si>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</si>
  <si>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</si>
  <si>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</si>
  <si>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</si>
  <si>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</si>
  <si>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</si>
  <si>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</si>
  <si>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</si>
  <si>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</si>
  <si>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</si>
  <si>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</si>
  <si>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</si>
  <si>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</si>
  <si>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</si>
  <si>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</si>
  <si>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</si>
  <si>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</si>
  <si>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</si>
  <si>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</si>
  <si>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</si>
  <si>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</si>
  <si>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</si>
  <si>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</si>
  <si>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</si>
  <si>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</si>
  <si>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</si>
  <si>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</si>
  <si>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</si>
  <si>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</si>
  <si>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</si>
  <si>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</si>
  <si>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</si>
  <si>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</si>
  <si>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</si>
  <si>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</si>
  <si>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</si>
  <si>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</si>
  <si>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</si>
  <si>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</si>
  <si>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</si>
  <si>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</si>
  <si>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</si>
  <si>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</si>
  <si>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</si>
  <si>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</si>
  <si>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</si>
  <si>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</si>
  <si>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</si>
  <si>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</si>
  <si>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</si>
  <si>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</si>
  <si>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</si>
  <si>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</si>
  <si>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</si>
  <si>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</si>
  <si>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</si>
  <si>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</si>
  <si>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</si>
  <si>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</si>
  <si>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</si>
  <si>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</si>
  <si>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</si>
  <si>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</si>
  <si>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</si>
  <si>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</si>
  <si>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</si>
  <si>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</si>
  <si>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</si>
  <si>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</si>
  <si>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</si>
  <si>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</si>
  <si>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</si>
  <si>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</si>
  <si>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</si>
  <si>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</si>
  <si>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</si>
  <si>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</si>
  <si>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</si>
  <si>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</si>
  <si>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</si>
  <si>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</si>
  <si>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</si>
  <si>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</si>
  <si>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</si>
  <si>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</si>
  <si>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</si>
  <si>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</si>
  <si>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</si>
  <si>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</si>
  <si>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</si>
  <si>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</si>
  <si>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</si>
  <si>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</si>
  <si>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</si>
  <si>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</si>
  <si>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</si>
  <si>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</si>
  <si>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</si>
  <si>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</si>
  <si>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</si>
  <si>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</si>
  <si>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</si>
  <si>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</si>
  <si>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</si>
  <si>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</si>
  <si>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</si>
  <si>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</si>
  <si>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</si>
  <si>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</si>
  <si>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</si>
  <si>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</si>
  <si>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</si>
  <si>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</si>
  <si>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</si>
  <si>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</si>
  <si>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</si>
  <si>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</si>
  <si>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</si>
  <si>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</si>
  <si>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</si>
  <si>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</si>
  <si>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</si>
  <si>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</si>
  <si>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</si>
  <si>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</si>
  <si>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</si>
  <si>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</si>
  <si>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</si>
  <si>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</si>
  <si>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</si>
  <si>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</si>
  <si>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</si>
  <si>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</si>
  <si>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</si>
  <si>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</si>
  <si>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</si>
  <si>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</si>
  <si>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</si>
  <si>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</si>
  <si>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</si>
  <si>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</si>
  <si>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</si>
  <si>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</si>
  <si>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</si>
  <si>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</si>
  <si>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</si>
  <si>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</si>
  <si>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</si>
  <si>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</si>
  <si>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</si>
  <si>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</si>
  <si>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</si>
  <si>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</si>
  <si>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</si>
  <si>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</si>
  <si>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</si>
  <si>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</si>
  <si>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</si>
  <si>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</si>
  <si>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</si>
  <si>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</si>
  <si>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</si>
  <si>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</si>
  <si>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</si>
  <si>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</si>
  <si>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</si>
  <si>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</si>
  <si>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</si>
  <si>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</si>
  <si>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</si>
  <si>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</si>
  <si>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</si>
  <si>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</si>
  <si>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</si>
  <si>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</si>
  <si>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</si>
  <si>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</si>
  <si>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</si>
  <si>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</si>
  <si>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</si>
  <si>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</si>
  <si>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</si>
  <si>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</si>
  <si>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</si>
  <si>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</si>
  <si>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</si>
  <si>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</si>
  <si>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</si>
  <si>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</si>
  <si>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</si>
  <si>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</si>
  <si>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</si>
  <si>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</si>
  <si>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</si>
  <si>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</si>
  <si>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</si>
  <si>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</si>
  <si>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</si>
  <si>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</si>
  <si>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</si>
  <si>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</si>
  <si>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</si>
  <si>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</si>
  <si>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</si>
  <si>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</si>
  <si>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</si>
  <si>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</si>
  <si>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</si>
  <si>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</si>
  <si>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</si>
  <si>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</si>
  <si>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</si>
  <si>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</si>
  <si>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</si>
  <si>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</si>
  <si>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</si>
  <si>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</si>
  <si>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</si>
  <si>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</si>
  <si>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</si>
  <si>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</si>
  <si>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</si>
  <si>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</si>
  <si>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</si>
  <si>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</si>
  <si>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</si>
  <si>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</si>
  <si>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</si>
  <si>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</si>
  <si>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</si>
  <si>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</si>
  <si>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</si>
  <si>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</si>
  <si>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</si>
  <si>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</si>
  <si>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</si>
  <si>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</si>
  <si>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</si>
  <si>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</si>
  <si>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</si>
  <si>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</si>
  <si>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</si>
  <si>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</si>
  <si>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</si>
  <si>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</si>
  <si>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</si>
  <si>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</si>
  <si>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</si>
  <si>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</si>
  <si>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</si>
  <si>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</si>
  <si>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</si>
  <si>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</si>
  <si>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</si>
  <si>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</si>
  <si>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</si>
  <si>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</si>
  <si>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</si>
  <si>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</si>
  <si>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</si>
  <si>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</si>
  <si>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</si>
  <si>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</si>
  <si>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</si>
  <si>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</si>
  <si>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</si>
  <si>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</si>
  <si>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</si>
  <si>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</si>
  <si>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</si>
  <si>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</si>
  <si>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</si>
  <si>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</si>
  <si>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</si>
  <si>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</si>
  <si>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</si>
  <si>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</si>
  <si>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</si>
  <si>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</si>
  <si>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</si>
  <si>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</si>
  <si>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</si>
  <si>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</si>
  <si>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</si>
  <si>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</si>
  <si>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</si>
  <si>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</si>
  <si>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</si>
  <si>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</si>
  <si>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</si>
  <si>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</si>
  <si>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</si>
  <si>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</si>
  <si>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</si>
  <si>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</si>
  <si>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</si>
  <si>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</si>
  <si>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</si>
  <si>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</si>
  <si>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</si>
  <si>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</si>
  <si>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</si>
  <si>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</si>
  <si>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</si>
  <si>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</si>
  <si>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</si>
  <si>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</si>
  <si>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</si>
  <si>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</si>
  <si>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</si>
  <si>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</si>
  <si>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</si>
  <si>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</si>
  <si>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</si>
  <si>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</si>
  <si>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</si>
  <si>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</si>
  <si>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</si>
  <si>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</si>
  <si>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</si>
  <si>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</si>
  <si>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</si>
  <si>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</si>
  <si>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</si>
  <si>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</si>
  <si>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</si>
  <si>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</si>
  <si>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</si>
  <si>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</si>
  <si>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</si>
  <si>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</si>
  <si>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</si>
  <si>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</si>
  <si>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</si>
  <si>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</si>
  <si>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</si>
  <si>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</si>
  <si>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</si>
  <si>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</si>
  <si>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</si>
  <si>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</si>
  <si>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</si>
  <si>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</si>
  <si>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</si>
  <si>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</si>
  <si>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</si>
  <si>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</si>
  <si>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</si>
  <si>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</si>
  <si>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</si>
  <si>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</si>
  <si>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</si>
  <si>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</si>
  <si>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</si>
  <si>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</si>
  <si>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</si>
  <si>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</si>
  <si>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</si>
  <si>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</si>
  <si>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</si>
  <si>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</si>
  <si>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</si>
  <si>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</si>
  <si>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</si>
  <si>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</si>
  <si>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</si>
  <si>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</si>
  <si>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</si>
  <si>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</si>
  <si>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</si>
  <si>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</si>
  <si>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</si>
  <si>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</si>
  <si>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</si>
  <si>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</si>
  <si>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</si>
  <si>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</si>
  <si>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</si>
  <si>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</si>
  <si>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</si>
  <si>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</si>
  <si>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</si>
  <si>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</si>
  <si>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</si>
  <si>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</si>
  <si>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</si>
  <si>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</si>
  <si>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</si>
  <si>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</si>
  <si>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</si>
  <si>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</si>
  <si>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</si>
  <si>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</si>
  <si>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</si>
  <si>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</si>
  <si>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</si>
  <si>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</si>
  <si>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</si>
  <si>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</si>
  <si>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</si>
  <si>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</si>
  <si>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</si>
  <si>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</si>
  <si>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</si>
  <si>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</si>
  <si>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</si>
  <si>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</si>
  <si>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</si>
  <si>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</si>
  <si>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</si>
  <si>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</si>
  <si>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</si>
  <si>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</si>
  <si>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</si>
  <si>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</si>
  <si>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</si>
  <si>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</si>
  <si>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</si>
  <si>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</si>
  <si>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</si>
  <si>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</si>
  <si>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</si>
  <si>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</si>
  <si>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</si>
  <si>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</si>
  <si>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</si>
  <si>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</si>
  <si>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</si>
  <si>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</si>
  <si>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</si>
  <si>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</si>
  <si>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</si>
  <si>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</si>
  <si>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</si>
  <si>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</si>
  <si>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</si>
  <si>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</si>
  <si>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</si>
  <si>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</si>
  <si>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</si>
  <si>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</si>
  <si>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</si>
  <si>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</si>
  <si>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</si>
  <si>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</si>
  <si>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</si>
  <si>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</si>
  <si>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</si>
  <si>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</si>
  <si>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</si>
  <si>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</si>
  <si>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</si>
  <si>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</si>
  <si>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</si>
  <si>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</si>
  <si>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</si>
  <si>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</si>
  <si>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</si>
  <si>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</si>
  <si>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</si>
  <si>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</si>
  <si>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</si>
  <si>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</si>
  <si>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</si>
  <si>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</si>
  <si>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</si>
  <si>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</si>
  <si>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</si>
  <si>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</si>
  <si>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</si>
  <si>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</si>
  <si>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</si>
  <si>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</si>
  <si>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</si>
  <si>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</si>
  <si>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</si>
  <si>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</si>
  <si>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</si>
  <si>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</si>
  <si>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</si>
  <si>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</si>
  <si>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</si>
  <si>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</si>
  <si>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</si>
  <si>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</si>
  <si>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</si>
  <si>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</si>
  <si>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</si>
  <si>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</si>
  <si>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</si>
  <si>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</si>
  <si>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</si>
  <si>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</si>
  <si>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</si>
  <si>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</si>
  <si>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</si>
  <si>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</si>
  <si>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</si>
  <si>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</si>
  <si>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</si>
  <si>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</si>
  <si>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</si>
  <si>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</si>
  <si>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</si>
  <si>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</si>
  <si>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</si>
  <si>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</si>
  <si>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</si>
  <si>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</si>
  <si>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</si>
  <si>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</si>
  <si>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</si>
  <si>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</si>
  <si>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</si>
  <si>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</si>
  <si>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</si>
  <si>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</si>
  <si>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</si>
  <si>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</si>
  <si>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</si>
  <si>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</si>
  <si>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</si>
  <si>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</si>
  <si>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</si>
  <si>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</si>
  <si>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</si>
  <si>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</si>
  <si>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</si>
  <si>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</si>
  <si>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</si>
  <si>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</si>
  <si>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</si>
  <si>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</si>
  <si>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</si>
  <si>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</si>
  <si>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</si>
  <si>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</si>
  <si>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</si>
  <si>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</si>
  <si>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</si>
  <si>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</si>
  <si>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</si>
  <si>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</si>
  <si>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</si>
  <si>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</si>
  <si>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</si>
  <si>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</si>
  <si>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</si>
  <si>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</si>
  <si>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</si>
  <si>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</si>
  <si>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</si>
  <si>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</si>
  <si>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</si>
  <si>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</si>
  <si>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</si>
  <si>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</si>
  <si>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</si>
  <si>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</si>
  <si>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</si>
  <si>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</si>
  <si>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</si>
  <si>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</si>
  <si>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</si>
  <si>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</si>
  <si>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</si>
  <si>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</si>
  <si>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</si>
  <si>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</si>
  <si>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</si>
  <si>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</si>
  <si>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</si>
  <si>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</si>
  <si>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</si>
  <si>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</si>
  <si>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</si>
  <si>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</si>
  <si>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</si>
  <si>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</si>
  <si>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</si>
  <si>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</si>
  <si>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</si>
  <si>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</si>
  <si>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</si>
  <si>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</si>
  <si>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</si>
  <si>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</si>
  <si>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</si>
  <si>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</si>
  <si>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</si>
  <si>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</si>
  <si>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</si>
  <si>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</si>
  <si>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</si>
  <si>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</si>
  <si>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</si>
  <si>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</si>
  <si>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</si>
  <si>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</si>
  <si>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</si>
  <si>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</si>
  <si>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</si>
  <si>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</si>
  <si>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</si>
  <si>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</si>
  <si>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</si>
  <si>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</si>
  <si>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</si>
  <si>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</si>
  <si>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</si>
  <si>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</si>
  <si>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</si>
  <si>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</si>
  <si>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</si>
  <si>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</si>
  <si>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</si>
  <si>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</si>
  <si>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</si>
  <si>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</si>
  <si>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</si>
  <si>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</si>
  <si>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</si>
  <si>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</si>
  <si>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</si>
  <si>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</si>
  <si>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</si>
  <si>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</si>
  <si>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</si>
  <si>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</si>
  <si>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</si>
  <si>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</si>
  <si>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</si>
  <si>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</si>
  <si>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</si>
  <si>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</si>
  <si>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</si>
  <si>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</si>
  <si>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</si>
  <si>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</si>
  <si>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</si>
  <si>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</si>
  <si>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</si>
  <si>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</si>
  <si>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</si>
  <si>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</si>
  <si>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</si>
  <si>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</si>
  <si>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</si>
  <si>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</si>
  <si>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</si>
  <si>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</si>
  <si>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</si>
  <si>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</si>
  <si>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</si>
  <si>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</si>
  <si>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</si>
  <si>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</si>
  <si>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</si>
  <si>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</si>
  <si>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</si>
  <si>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</si>
  <si>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</si>
  <si>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</si>
  <si>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</si>
  <si>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</si>
  <si>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</si>
  <si>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</si>
  <si>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</si>
  <si>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</si>
  <si>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</si>
  <si>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</si>
  <si>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</si>
  <si>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</si>
  <si>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</si>
  <si>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</si>
  <si>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</si>
  <si>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</si>
  <si>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</si>
  <si>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</si>
  <si>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</si>
  <si>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</si>
  <si>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</si>
  <si>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</si>
  <si>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</si>
  <si>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</si>
  <si>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</si>
  <si>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</si>
  <si>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</si>
  <si>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</si>
  <si>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</si>
  <si>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</si>
  <si>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</si>
  <si>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</si>
  <si>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</si>
  <si>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</si>
  <si>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</si>
  <si>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</si>
  <si>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</si>
  <si>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</si>
  <si>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</si>
  <si>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</si>
  <si>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</si>
  <si>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</si>
  <si>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</si>
  <si>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</si>
  <si>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</si>
  <si>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</si>
  <si>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</si>
  <si>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</si>
  <si>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</si>
  <si>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</si>
  <si>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</si>
  <si>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</si>
  <si>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</si>
  <si>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</si>
  <si>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</si>
  <si>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</si>
  <si>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</si>
  <si>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</si>
  <si>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</si>
  <si>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</si>
  <si>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</si>
  <si>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</si>
  <si>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</si>
  <si>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</si>
  <si>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</si>
  <si>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</si>
  <si>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</si>
  <si>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</si>
  <si>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</si>
  <si>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</si>
  <si>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</si>
  <si>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</si>
  <si>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</si>
  <si>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</si>
  <si>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</si>
  <si>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</si>
  <si>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</si>
  <si>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</si>
  <si>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</si>
  <si>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</si>
  <si>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</si>
  <si>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</si>
  <si>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</si>
  <si>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</si>
  <si>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</si>
  <si>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</si>
  <si>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</si>
  <si>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</si>
  <si>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</si>
  <si>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</si>
  <si>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</si>
  <si>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</si>
  <si>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</si>
  <si>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</si>
  <si>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</si>
  <si>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</si>
  <si>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</si>
  <si>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</si>
  <si>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</si>
  <si>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</si>
  <si>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</si>
  <si>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</si>
  <si>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</si>
  <si>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</si>
  <si>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</si>
  <si>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</si>
  <si>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</si>
  <si>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</si>
  <si>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</si>
  <si>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</si>
  <si>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</si>
  <si>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</si>
  <si>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</si>
  <si>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</si>
  <si>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</si>
  <si>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</si>
  <si>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</si>
  <si>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</si>
  <si>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</si>
  <si>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</si>
  <si>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</si>
  <si>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</si>
  <si>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</si>
  <si>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</si>
  <si>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</si>
  <si>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</si>
  <si>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</si>
  <si>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</si>
  <si>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</si>
  <si>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</si>
  <si>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</si>
  <si>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</si>
  <si>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</si>
  <si>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</si>
  <si>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</si>
  <si>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</si>
  <si>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</si>
  <si>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</si>
  <si>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</si>
  <si>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</si>
  <si>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</si>
  <si>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</si>
  <si>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</si>
  <si>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</si>
  <si>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</si>
  <si>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</si>
  <si>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</si>
  <si>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</si>
  <si>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</si>
  <si>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</si>
  <si>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</si>
  <si>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</si>
  <si>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</si>
  <si>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</si>
  <si>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</si>
  <si>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</si>
  <si>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</si>
  <si>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</si>
  <si>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</si>
  <si>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</si>
  <si>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</si>
  <si>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</si>
  <si>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</si>
  <si>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</si>
  <si>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</si>
  <si>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</si>
  <si>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</si>
  <si>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</si>
  <si>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</si>
  <si>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</si>
  <si>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</si>
  <si>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</si>
  <si>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Call_Number</t>
  </si>
  <si>
    <t>Customer_ID</t>
  </si>
  <si>
    <t>Call_Duration</t>
  </si>
  <si>
    <t>Call_Date</t>
  </si>
  <si>
    <t>Purchase_Amount</t>
  </si>
  <si>
    <t>Satisfaction_Rating</t>
  </si>
  <si>
    <t>Year</t>
  </si>
  <si>
    <t>Month_Number</t>
  </si>
  <si>
    <t>Month_Name</t>
  </si>
  <si>
    <t>Quarter</t>
  </si>
  <si>
    <t>Weekday</t>
  </si>
  <si>
    <t>January</t>
  </si>
  <si>
    <t>Sunday</t>
  </si>
  <si>
    <t>Monday</t>
  </si>
  <si>
    <t>Tuesday</t>
  </si>
  <si>
    <t>Wednesday</t>
  </si>
  <si>
    <t>Thursday</t>
  </si>
  <si>
    <t>Friday</t>
  </si>
  <si>
    <t>Saturday</t>
  </si>
  <si>
    <t>February</t>
  </si>
  <si>
    <t>March</t>
  </si>
  <si>
    <t>April</t>
  </si>
  <si>
    <t>May</t>
  </si>
  <si>
    <t>June</t>
  </si>
  <si>
    <t>July</t>
  </si>
  <si>
    <t>August</t>
  </si>
  <si>
    <t>September</t>
  </si>
  <si>
    <t>October</t>
  </si>
  <si>
    <t>November</t>
  </si>
  <si>
    <t>December</t>
  </si>
  <si>
    <t>Row Labels</t>
  </si>
  <si>
    <t>Grand Total</t>
  </si>
  <si>
    <t>Sum of Purchase_Amount</t>
  </si>
  <si>
    <t>Count of Call_Number</t>
  </si>
  <si>
    <t>Number of Calls for each Customer ID</t>
  </si>
  <si>
    <t>Customer Satisfaction</t>
  </si>
  <si>
    <t>Average of Satisfaction_Rating</t>
  </si>
  <si>
    <t>Top 10 Customers</t>
  </si>
  <si>
    <t>Top 10 Customers by Representative</t>
  </si>
  <si>
    <t>How busy is our Call Center in 2023</t>
  </si>
  <si>
    <t>FY</t>
  </si>
  <si>
    <t>Year-to-Date Sales Analysis (Running Total)</t>
  </si>
  <si>
    <t>Busiest days of week</t>
  </si>
  <si>
    <t>Count of Call_Duration</t>
  </si>
  <si>
    <t>Busiest days of week by Representative</t>
  </si>
  <si>
    <t>Column Labels</t>
  </si>
  <si>
    <t>1 to 2 hours</t>
  </si>
  <si>
    <t>More than 2 hours</t>
  </si>
  <si>
    <t>30 to 60 mins</t>
  </si>
  <si>
    <t>10 to 30 mins</t>
  </si>
  <si>
    <t>Under 10 mins</t>
  </si>
  <si>
    <t>Duration_Bucket</t>
  </si>
  <si>
    <t>Rating_Rounded</t>
  </si>
  <si>
    <t xml:space="preserve">Link between duration &amp; satisfaction (satisfaction from 1-5 &amp; number of duration in mins) </t>
  </si>
  <si>
    <t>Jan</t>
  </si>
  <si>
    <t>Feb</t>
  </si>
  <si>
    <t>Mar</t>
  </si>
  <si>
    <t>Apr</t>
  </si>
  <si>
    <t>Jun</t>
  </si>
  <si>
    <t>Jul</t>
  </si>
  <si>
    <t>Aug</t>
  </si>
  <si>
    <t>Sep</t>
  </si>
  <si>
    <t>Oct</t>
  </si>
  <si>
    <t>Nov</t>
  </si>
  <si>
    <t>Dec</t>
  </si>
  <si>
    <t>Should we hire extra people in any specific months</t>
  </si>
  <si>
    <t>Customers that call most but buy least</t>
  </si>
  <si>
    <t>Customer</t>
  </si>
  <si>
    <t>Calls</t>
  </si>
  <si>
    <t>Total_Purchase</t>
  </si>
  <si>
    <t>Purchase</t>
  </si>
  <si>
    <t>Purchase/Call</t>
  </si>
  <si>
    <t>Helper Table</t>
  </si>
  <si>
    <t>Customers</t>
  </si>
  <si>
    <t>1/ KPI calculations</t>
  </si>
  <si>
    <t>Total_Calls</t>
  </si>
  <si>
    <t>Purchase_per_Call</t>
  </si>
  <si>
    <t>Calculating Purchase per Call</t>
  </si>
  <si>
    <t>Revenue per Representative</t>
  </si>
  <si>
    <t>Revenue</t>
  </si>
  <si>
    <t>Average Revenue per Customer</t>
  </si>
  <si>
    <t>Average Call Duration by Representative</t>
  </si>
  <si>
    <t>Avg_Call_Duration</t>
  </si>
  <si>
    <r>
      <rPr>
        <b/>
        <sz val="11"/>
        <color theme="1"/>
        <rFont val="Aptos"/>
        <family val="2"/>
        <scheme val="minor"/>
      </rPr>
      <t>Customer</t>
    </r>
    <r>
      <rPr>
        <sz val="11"/>
        <color theme="1"/>
        <rFont val="Aptos"/>
        <family val="2"/>
        <scheme val="minor"/>
      </rPr>
      <t xml:space="preserve"> </t>
    </r>
  </si>
  <si>
    <t>Satisfaction</t>
  </si>
  <si>
    <t>Classification</t>
  </si>
  <si>
    <t>Total Spending for a selected customer using XLOOKUP()</t>
  </si>
  <si>
    <t>Total_spending</t>
  </si>
  <si>
    <t>Rank</t>
  </si>
  <si>
    <t>Revenue per Representative using RANK()</t>
  </si>
  <si>
    <t>2/ Lookups and Ranking</t>
  </si>
  <si>
    <t>3/ Advanced Analysis</t>
  </si>
  <si>
    <t>TOP 10 Customers by spending</t>
  </si>
  <si>
    <t>Spending</t>
  </si>
  <si>
    <t>TOP 10</t>
  </si>
  <si>
    <t xml:space="preserve">Representative </t>
  </si>
  <si>
    <t xml:space="preserve">Calls </t>
  </si>
  <si>
    <t xml:space="preserve">Avg_satisfaction </t>
  </si>
  <si>
    <t xml:space="preserve">Rank </t>
  </si>
  <si>
    <t>Representatives with average satisfaction above 3.9</t>
  </si>
  <si>
    <t>Filtered Avg_satisfaction</t>
  </si>
  <si>
    <t>Contribution</t>
  </si>
  <si>
    <t>Percentage contribution of each representative</t>
  </si>
  <si>
    <t>Customers who called more than 5 times but spent less than the average customer</t>
  </si>
  <si>
    <t xml:space="preserve">Revenue </t>
  </si>
  <si>
    <t>Avg_Revenue</t>
  </si>
  <si>
    <t>Result</t>
  </si>
  <si>
    <t>Interactive report using dropdown</t>
  </si>
  <si>
    <t>Value</t>
  </si>
  <si>
    <t>Avg Satisfaction</t>
  </si>
  <si>
    <t>Avg Duration</t>
  </si>
  <si>
    <t xml:space="preserve">KPI </t>
  </si>
  <si>
    <t>Gedner</t>
  </si>
  <si>
    <t>Age</t>
  </si>
  <si>
    <t>City</t>
  </si>
  <si>
    <t>Male</t>
  </si>
  <si>
    <t>Columbus</t>
  </si>
  <si>
    <t>Cleveland</t>
  </si>
  <si>
    <t>Cincinnati</t>
  </si>
  <si>
    <t>Female</t>
  </si>
  <si>
    <t>Call Count</t>
  </si>
  <si>
    <t>Total Amount</t>
  </si>
  <si>
    <t>Total Duration</t>
  </si>
  <si>
    <t>Average Rating</t>
  </si>
  <si>
    <t>5 Star Calls</t>
  </si>
  <si>
    <t>Call Count2</t>
  </si>
  <si>
    <t>Call Trend graph (Line + Area graph)</t>
  </si>
  <si>
    <t>Weekday Trend</t>
  </si>
  <si>
    <t>Show different KPIs using Representative slicer</t>
  </si>
  <si>
    <t>Calls and Amount by Representative</t>
  </si>
  <si>
    <t>For Graphs</t>
  </si>
  <si>
    <t>Repr</t>
  </si>
  <si>
    <t>Amount</t>
  </si>
  <si>
    <t>Sel_Calls</t>
  </si>
  <si>
    <t>Sel_Amount</t>
  </si>
  <si>
    <t>Selected_Rep</t>
  </si>
  <si>
    <t>TOTAL</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</si>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</sst>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09]d\-mmm\-yy;@"/>
    <numFmt numFmtId="165" formatCode="0.0"/>
    <numFmt numFmtId="166" formatCode="\$#,##0;\(\$#,##0\);\$#,##0"/>
    <numFmt numFmtId="167" formatCode="&quot;$&quot;#,###.0,&quot;k&quot;"/>
    <numFmt numFmtId="168" formatCode="&quot;$&quot;#,##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28"/>
      <color theme="2" tint="-0.749992370372631"/>
      <name val="Aptos ExtraBold"/>
      <family val="2"/>
      <scheme val="major"/>
    </font>
  </fonts>
  <fills count="9">
    <fill>
      <patternFill patternType="none"/>
    </fill>
    <fill>
      <patternFill patternType="gray125"/>
    </fill>
    <fill>
      <patternFill patternType="solid">
        <fgColor theme="5"/>
        <bgColor indexed="64"/>
      </patternFill>
    </fill>
    <fill>
      <patternFill patternType="solid">
        <fgColor theme="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9"/>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54">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right"/>
    </xf>
    <xf numFmtId="164" fontId="0" fillId="0" borderId="1" xfId="0" applyNumberFormat="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165" fontId="0" fillId="0" borderId="0" xfId="0" applyNumberFormat="1"/>
    <xf numFmtId="44" fontId="0" fillId="0" borderId="0" xfId="0" applyNumberFormat="1"/>
    <xf numFmtId="10" fontId="0" fillId="0" borderId="0" xfId="0" applyNumberFormat="1"/>
    <xf numFmtId="2" fontId="0" fillId="0" borderId="0" xfId="0" applyNumberFormat="1"/>
    <xf numFmtId="44" fontId="0" fillId="0" borderId="0" xfId="1" applyFont="1"/>
    <xf numFmtId="4" fontId="0" fillId="0" borderId="0" xfId="1" applyNumberFormat="1" applyFont="1"/>
    <xf numFmtId="0" fontId="1" fillId="3" borderId="0" xfId="0" applyFont="1" applyFill="1"/>
    <xf numFmtId="0" fontId="0" fillId="3" borderId="0" xfId="0" applyFill="1"/>
    <xf numFmtId="0" fontId="1" fillId="4" borderId="0" xfId="0" applyFont="1" applyFill="1"/>
    <xf numFmtId="0" fontId="0" fillId="4" borderId="0" xfId="0" applyFill="1"/>
    <xf numFmtId="44" fontId="0" fillId="5" borderId="0" xfId="1" applyFont="1" applyFill="1"/>
    <xf numFmtId="1" fontId="0" fillId="0" borderId="0" xfId="1" applyNumberFormat="1" applyFont="1"/>
    <xf numFmtId="10" fontId="0" fillId="0" borderId="0" xfId="2" applyNumberFormat="1" applyFont="1"/>
    <xf numFmtId="44" fontId="0" fillId="6" borderId="0" xfId="1" applyFont="1" applyFill="1"/>
    <xf numFmtId="44" fontId="4" fillId="6" borderId="0" xfId="1" applyFont="1" applyFill="1"/>
    <xf numFmtId="0" fontId="1" fillId="0" borderId="0" xfId="0" applyFont="1"/>
    <xf numFmtId="9" fontId="0" fillId="0" borderId="1" xfId="0" applyNumberFormat="1" applyBorder="1"/>
    <xf numFmtId="0" fontId="3" fillId="6" borderId="0" xfId="0" applyFont="1" applyFill="1" applyAlignment="1">
      <alignment vertical="center"/>
    </xf>
    <xf numFmtId="0" fontId="0" fillId="6" borderId="0" xfId="0" applyFill="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9" fontId="0" fillId="0" borderId="8" xfId="0" applyNumberFormat="1" applyBorder="1"/>
    <xf numFmtId="0" fontId="0" fillId="0" borderId="8" xfId="0" applyBorder="1"/>
    <xf numFmtId="0" fontId="0" fillId="0" borderId="9" xfId="0" applyBorder="1"/>
    <xf numFmtId="3" fontId="0" fillId="0" borderId="0" xfId="0" applyNumberFormat="1"/>
    <xf numFmtId="166" fontId="0" fillId="0" borderId="0" xfId="0" applyNumberFormat="1"/>
    <xf numFmtId="0" fontId="0" fillId="7" borderId="0" xfId="0" applyFill="1"/>
    <xf numFmtId="0" fontId="0" fillId="7" borderId="0" xfId="0" applyFill="1" applyAlignment="1">
      <alignment vertical="center"/>
    </xf>
    <xf numFmtId="167" fontId="0" fillId="0" borderId="0" xfId="0" applyNumberFormat="1"/>
    <xf numFmtId="0" fontId="0" fillId="8" borderId="0" xfId="0" applyFill="1"/>
    <xf numFmtId="0" fontId="5" fillId="8" borderId="0" xfId="0" applyFont="1" applyFill="1"/>
    <xf numFmtId="0" fontId="5" fillId="8" borderId="0" xfId="0" applyFont="1" applyFill="1" applyAlignment="1">
      <alignment horizontal="left" indent="1"/>
    </xf>
    <xf numFmtId="168" fontId="5" fillId="8" borderId="0" xfId="0" applyNumberFormat="1" applyFont="1" applyFill="1"/>
    <xf numFmtId="0" fontId="1" fillId="8" borderId="0" xfId="0" applyFont="1" applyFill="1"/>
    <xf numFmtId="0" fontId="6" fillId="8" borderId="0" xfId="0" applyFont="1" applyFill="1"/>
    <xf numFmtId="0" fontId="7" fillId="7" borderId="0" xfId="0" applyFont="1" applyFill="1"/>
  </cellXfs>
  <cellStyles count="3">
    <cellStyle name="Currency" xfId="1" builtinId="4"/>
    <cellStyle name="Normal" xfId="0" builtinId="0"/>
    <cellStyle name="Percent" xfId="2" builtinId="5"/>
  </cellStyles>
  <dxfs count="27">
    <dxf>
      <fill>
        <patternFill>
          <bgColor theme="4" tint="0.39994506668294322"/>
        </patternFill>
      </fill>
      <border>
        <left style="thin">
          <color theme="1" tint="0.14996795556505021"/>
        </left>
        <right style="thin">
          <color theme="1" tint="0.14996795556505021"/>
        </right>
        <vertical/>
        <horizontal/>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9" formatCode="_([$$-409]* #,##0.00_);_([$$-409]* \(#,##0.00\);_([$$-409]* &quot;-&quot;??_);_(@_)"/>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6"/>
    </tableStyle>
    <tableStyle name="SlicerStyleDark1 2" pivot="0" table="0" count="10" xr9:uid="{595A62A5-FB95-43BE-9111-24D20BD39501}">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cat>
            <c:strRef>
              <c:f>'Pivot Tables'!$A$62:$A$72</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'Pivot Tables'!$B$62:$B$72</c:f>
              <c:numCache>
                <c:formatCode>_("$"* #,##0.00_);_("$"* \(#,##0.00\);_("$"* "-"??_);_(@_)</c:formatCode>
                <c:ptCount val="10"/>
                <c:pt idx="0">
                  <c:v>7747</c:v>
                </c:pt>
                <c:pt idx="1">
                  <c:v>7689</c:v>
                </c:pt>
                <c:pt idx="2">
                  <c:v>7230</c:v>
                </c:pt>
                <c:pt idx="3">
                  <c:v>7216</c:v>
                </c:pt>
                <c:pt idx="4">
                  <c:v>6819</c:v>
                </c:pt>
                <c:pt idx="5">
                  <c:v>6785</c:v>
                </c:pt>
                <c:pt idx="6">
                  <c:v>6749</c:v>
                </c:pt>
                <c:pt idx="7">
                  <c:v>6529</c:v>
                </c:pt>
                <c:pt idx="8">
                  <c:v>6518</c:v>
                </c:pt>
                <c:pt idx="9">
                  <c:v>6242</c:v>
                </c:pt>
              </c:numCache>
            </c:numRef>
          </c:val>
          <c:extLst>
            <c:ext xmlns:c16="http://schemas.microsoft.com/office/drawing/2014/chart" uri="{C3380CC4-5D6E-409C-BE32-E72D297353CC}">
              <c16:uniqueId val="{00000000-3203-4386-8DA8-C839A648A395}"/>
            </c:ext>
          </c:extLst>
        </c:ser>
        <c:dLbls>
          <c:showLegendKey val="0"/>
          <c:showVal val="0"/>
          <c:showCatName val="0"/>
          <c:showSerName val="0"/>
          <c:showPercent val="0"/>
          <c:showBubbleSize val="0"/>
        </c:dLbls>
        <c:gapWidth val="219"/>
        <c:overlap val="-27"/>
        <c:axId val="1111494624"/>
        <c:axId val="1111487904"/>
      </c:barChart>
      <c:catAx>
        <c:axId val="1111494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487904"/>
        <c:crosses val="autoZero"/>
        <c:auto val="1"/>
        <c:lblAlgn val="ctr"/>
        <c:lblOffset val="100"/>
        <c:noMultiLvlLbl val="0"/>
      </c:catAx>
      <c:valAx>
        <c:axId val="11114879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49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[Calls_Centre_KPI_dashboard.xlsx]Pivot 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Numbers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Tables'!$B$77</c:f>
              <c:strCache>
                <c:ptCount val="1"/>
                <c:pt idx="0">
                  <c:v>Total</c:v>
                </c:pt>
              </c:strCache>
            </c:strRef>
          </c:tx>
          <c:spPr>
            <a:ln w="28575" cap="rnd">
              <a:solidFill>
                <a:schemeClr val="accent1"/>
              </a:solidFill>
              <a:round/>
            </a:ln>
            <a:effectLst/>
          </c:spPr>
          <c:marker>
            <c:symbol val="none"/>
          </c:marker>
          <c:cat>
            <c:strRef>
              <c:f>'Pivot Tables'!$A$78:$A$90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Tables'!$B$78:$B$90</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59E1-42A9-A515-0D8279E805F6}"/>
            </c:ext>
          </c:extLst>
        </c:ser>
        <c:dLbls>
          <c:showLegendKey val="0"/>
          <c:showVal val="0"/>
          <c:showCatName val="0"/>
          <c:showSerName val="0"/>
          <c:showPercent val="0"/>
          <c:showBubbleSize val="0"/>
        </c:dLbls>
        <c:smooth val="0"/>
        <c:axId val="1260233904"/>
        <c:axId val="1260234864"/>
      </c:lineChart>
      <c:catAx>
        <c:axId val="126023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34864"/>
        <c:crosses val="autoZero"/>
        <c:auto val="1"/>
        <c:lblAlgn val="ctr"/>
        <c:lblOffset val="100"/>
        <c:noMultiLvlLbl val="0"/>
      </c:catAx>
      <c:valAx>
        <c:axId val="126023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3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[Calls_Centre_KPI_dashboard.xlsx]Pivot Tables!PivotTable9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Tables'!$B$95</c:f>
              <c:strCache>
                <c:ptCount val="1"/>
                <c:pt idx="0">
                  <c:v>Total</c:v>
                </c:pt>
              </c:strCache>
            </c:strRef>
          </c:tx>
          <c:spPr>
            <a:solidFill>
              <a:schemeClr val="accent1"/>
            </a:solidFill>
            <a:ln>
              <a:noFill/>
            </a:ln>
            <a:effectLst/>
          </c:spPr>
          <c:invertIfNegative val="0"/>
          <c:cat>
            <c:multiLvlStrRef>
              <c:f>'Pivot Tables'!$A$96:$A$110</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2023</c:v>
                  </c:pt>
                  <c:pt idx="6">
                    <c:v>2024</c:v>
                  </c:pt>
                </c:lvl>
              </c:multiLvlStrCache>
            </c:multiLvlStrRef>
          </c:cat>
          <c:val>
            <c:numRef>
              <c:f>'Pivot Tables'!$B$96:$B$110</c:f>
              <c:numCache>
                <c:formatCode>General</c:formatCode>
                <c:ptCount val="12"/>
                <c:pt idx="0">
                  <c:v>1889</c:v>
                </c:pt>
                <c:pt idx="1">
                  <c:v>3900</c:v>
                </c:pt>
                <c:pt idx="2">
                  <c:v>6940</c:v>
                </c:pt>
                <c:pt idx="3">
                  <c:v>9242</c:v>
                </c:pt>
                <c:pt idx="4">
                  <c:v>10049</c:v>
                </c:pt>
                <c:pt idx="5">
                  <c:v>11080</c:v>
                </c:pt>
                <c:pt idx="6">
                  <c:v>1033</c:v>
                </c:pt>
                <c:pt idx="7">
                  <c:v>1848</c:v>
                </c:pt>
                <c:pt idx="8">
                  <c:v>3660</c:v>
                </c:pt>
                <c:pt idx="9">
                  <c:v>5697</c:v>
                </c:pt>
                <c:pt idx="10">
                  <c:v>7582</c:v>
                </c:pt>
                <c:pt idx="11">
                  <c:v>9024</c:v>
                </c:pt>
              </c:numCache>
            </c:numRef>
          </c:val>
          <c:extLst>
            <c:ext xmlns:c16="http://schemas.microsoft.com/office/drawing/2014/chart" uri="{C3380CC4-5D6E-409C-BE32-E72D297353CC}">
              <c16:uniqueId val="{00000000-0179-46D2-8FCE-13B6B044B555}"/>
            </c:ext>
          </c:extLst>
        </c:ser>
        <c:dLbls>
          <c:showLegendKey val="0"/>
          <c:showVal val="0"/>
          <c:showCatName val="0"/>
          <c:showSerName val="0"/>
          <c:showPercent val="0"/>
          <c:showBubbleSize val="0"/>
        </c:dLbls>
        <c:gapWidth val="219"/>
        <c:overlap val="-27"/>
        <c:axId val="1385881984"/>
        <c:axId val="1385881504"/>
      </c:barChart>
      <c:catAx>
        <c:axId val="138588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81504"/>
        <c:crosses val="autoZero"/>
        <c:auto val="1"/>
        <c:lblAlgn val="ctr"/>
        <c:lblOffset val="100"/>
        <c:noMultiLvlLbl val="0"/>
      </c:catAx>
      <c:valAx>
        <c:axId val="138588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8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[Calls_Centre_KPI_dashboard.xlsx]Dashboard Pivots!weekday trend</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Pivots'!$H$19:$H$26</c:f>
              <c:strCache>
                <c:ptCount val="7"/>
                <c:pt idx="0">
                  <c:v>Sunday</c:v>
                </c:pt>
                <c:pt idx="1">
                  <c:v>Monday</c:v>
                </c:pt>
                <c:pt idx="2">
                  <c:v>Tuesday</c:v>
                </c:pt>
                <c:pt idx="3">
                  <c:v>Wednesday</c:v>
                </c:pt>
                <c:pt idx="4">
                  <c:v>Thursday</c:v>
                </c:pt>
                <c:pt idx="5">
                  <c:v>Friday</c:v>
                </c:pt>
                <c:pt idx="6">
                  <c:v>Saturday</c:v>
                </c:pt>
              </c:strCache>
            </c:strRef>
          </c:cat>
          <c:val>
            <c:numRef>
              <c:f>'Dashboard Pivots'!$I$19:$I$26</c:f>
              <c:numCache>
                <c:formatCode>#,##0</c:formatCode>
                <c:ptCount val="7"/>
                <c:pt idx="0">
                  <c:v>35</c:v>
                </c:pt>
                <c:pt idx="1">
                  <c:v>30</c:v>
                </c:pt>
                <c:pt idx="2">
                  <c:v>13</c:v>
                </c:pt>
                <c:pt idx="3">
                  <c:v>23</c:v>
                </c:pt>
                <c:pt idx="4">
                  <c:v>23</c:v>
                </c:pt>
                <c:pt idx="5">
                  <c:v>24</c:v>
                </c:pt>
                <c:pt idx="6">
                  <c:v>40</c:v>
                </c:pt>
              </c:numCache>
            </c:numRef>
          </c:val>
          <c:extLst>
            <c:ext xmlns:c16="http://schemas.microsoft.com/office/drawing/2014/chart" uri="{C3380CC4-5D6E-409C-BE32-E72D297353CC}">
              <c16:uniqueId val="{00000000-F8B7-48AA-B0CA-01E05A2C1844}"/>
            </c:ext>
          </c:extLst>
        </c:ser>
        <c:dLbls>
          <c:dLblPos val="outEnd"/>
          <c:showLegendKey val="0"/>
          <c:showVal val="1"/>
          <c:showCatName val="0"/>
          <c:showSerName val="0"/>
          <c:showPercent val="0"/>
          <c:showBubbleSize val="0"/>
        </c:dLbls>
        <c:gapWidth val="25"/>
        <c:axId val="1568525920"/>
        <c:axId val="174431856"/>
      </c:barChart>
      <c:catAx>
        <c:axId val="1568525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31856"/>
        <c:crosses val="autoZero"/>
        <c:auto val="1"/>
        <c:lblAlgn val="ctr"/>
        <c:lblOffset val="100"/>
        <c:noMultiLvlLbl val="0"/>
      </c:catAx>
      <c:valAx>
        <c:axId val="174431856"/>
        <c:scaling>
          <c:orientation val="minMax"/>
        </c:scaling>
        <c:delete val="1"/>
        <c:axPos val="b"/>
        <c:numFmt formatCode="#,##0" sourceLinked="1"/>
        <c:majorTickMark val="out"/>
        <c:minorTickMark val="none"/>
        <c:tickLblPos val="nextTo"/>
        <c:crossAx val="156852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[Calls_Centre_KPI_dashboard.xlsx]Dashboard Pivots!monthly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latin typeface="+mj-lt"/>
              </a:rPr>
              <a:t>Call Trend</a:t>
            </a:r>
          </a:p>
        </c:rich>
      </c:tx>
      <c:layout>
        <c:manualLayout>
          <c:xMode val="edge"/>
          <c:yMode val="edge"/>
          <c:x val="4.3494874918926084E-2"/>
          <c:y val="3.5714285714285712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20000"/>
                  <a:lumOff val="80000"/>
                  <a:alpha val="50000"/>
                </a:schemeClr>
              </a:gs>
              <a:gs pos="100000">
                <a:schemeClr val="accent1">
                  <a:lumMod val="75000"/>
                </a:schemeClr>
              </a:gs>
              <a:gs pos="100000">
                <a:schemeClr val="accent1">
                  <a:lumMod val="30000"/>
                  <a:lumOff val="70000"/>
                </a:schemeClr>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circle"/>
          <c:size val="7"/>
          <c:spPr>
            <a:no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'Dashboard Pivots'!$C$18</c:f>
              <c:strCache>
                <c:ptCount val="1"/>
                <c:pt idx="0">
                  <c:v>Call Count2</c:v>
                </c:pt>
              </c:strCache>
            </c:strRef>
          </c:tx>
          <c:spPr>
            <a:gradFill flip="none" rotWithShape="1">
              <a:gsLst>
                <a:gs pos="0">
                  <a:schemeClr val="accent1">
                    <a:lumMod val="20000"/>
                    <a:lumOff val="80000"/>
                    <a:alpha val="50000"/>
                  </a:schemeClr>
                </a:gs>
                <a:gs pos="100000">
                  <a:schemeClr val="accent1">
                    <a:lumMod val="75000"/>
                  </a:schemeClr>
                </a:gs>
                <a:gs pos="100000">
                  <a:schemeClr val="accent1">
                    <a:lumMod val="30000"/>
                    <a:lumOff val="70000"/>
                  </a:schemeClr>
                </a:gs>
              </a:gsLst>
              <a:lin ang="18900000" scaled="1"/>
              <a:tileRect/>
            </a:gradFill>
            <a:ln>
              <a:noFill/>
            </a:ln>
            <a:effectLst/>
          </c:spPr>
          <c:cat>
            <c:strRef>
              <c:f>'Dashboard 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Pivots'!$C$19:$C$31</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5</c:v>
                </c:pt>
              </c:numCache>
            </c:numRef>
          </c:val>
          <c:extLst>
            <c:ext xmlns:c16="http://schemas.microsoft.com/office/drawing/2014/chart" uri="{C3380CC4-5D6E-409C-BE32-E72D297353CC}">
              <c16:uniqueId val="{00000000-8403-4014-BE64-5AFE49CF0A3A}"/>
            </c:ext>
          </c:extLst>
        </c:ser>
        <c:dLbls>
          <c:showLegendKey val="0"/>
          <c:showVal val="0"/>
          <c:showCatName val="0"/>
          <c:showSerName val="0"/>
          <c:showPercent val="0"/>
          <c:showBubbleSize val="0"/>
        </c:dLbls>
        <c:axId val="1564894416"/>
        <c:axId val="174412656"/>
      </c:areaChart>
      <c:lineChart>
        <c:grouping val="standard"/>
        <c:varyColors val="0"/>
        <c:ser>
          <c:idx val="0"/>
          <c:order val="0"/>
          <c:tx>
            <c:strRef>
              <c:f>'Dashboard Pivots'!$B$18</c:f>
              <c:strCache>
                <c:ptCount val="1"/>
                <c:pt idx="0">
                  <c:v>Call Count</c:v>
                </c:pt>
              </c:strCache>
            </c:strRef>
          </c:tx>
          <c:spPr>
            <a:ln w="25400" cap="rnd">
              <a:solidFill>
                <a:schemeClr val="accent1"/>
              </a:solidFill>
              <a:round/>
            </a:ln>
            <a:effectLst/>
          </c:spPr>
          <c:marker>
            <c:symbol val="circle"/>
            <c:size val="7"/>
            <c:spPr>
              <a:noFill/>
              <a:ln w="25400">
                <a:solidFill>
                  <a:schemeClr val="tx1"/>
                </a:solidFill>
              </a:ln>
              <a:effectLst/>
            </c:spPr>
          </c:marker>
          <c:cat>
            <c:strRef>
              <c:f>'Dashboard 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Pivots'!$B$19:$B$31</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5</c:v>
                </c:pt>
              </c:numCache>
            </c:numRef>
          </c:val>
          <c:smooth val="0"/>
          <c:extLst>
            <c:ext xmlns:c16="http://schemas.microsoft.com/office/drawing/2014/chart" uri="{C3380CC4-5D6E-409C-BE32-E72D297353CC}">
              <c16:uniqueId val="{00000001-8403-4014-BE64-5AFE49CF0A3A}"/>
            </c:ext>
          </c:extLst>
        </c:ser>
        <c:dLbls>
          <c:showLegendKey val="0"/>
          <c:showVal val="0"/>
          <c:showCatName val="0"/>
          <c:showSerName val="0"/>
          <c:showPercent val="0"/>
          <c:showBubbleSize val="0"/>
        </c:dLbls>
        <c:marker val="1"/>
        <c:smooth val="0"/>
        <c:axId val="1564894416"/>
        <c:axId val="174412656"/>
      </c:lineChart>
      <c:catAx>
        <c:axId val="156489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12656"/>
        <c:crosses val="autoZero"/>
        <c:auto val="1"/>
        <c:lblAlgn val="ctr"/>
        <c:lblOffset val="100"/>
        <c:noMultiLvlLbl val="0"/>
      </c:catAx>
      <c:valAx>
        <c:axId val="174412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89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latin typeface="+mj-lt"/>
              </a:rPr>
              <a:t>Amount</a:t>
            </a:r>
          </a:p>
        </c:rich>
      </c:tx>
      <c:layout>
        <c:manualLayout>
          <c:xMode val="edge"/>
          <c:yMode val="edge"/>
          <c:x val="0.10427796178029261"/>
          <c:y val="3.3214709371292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Pivots'!$F$41:$F$45</c:f>
              <c:strCache>
                <c:ptCount val="5"/>
                <c:pt idx="0">
                  <c:v>R01</c:v>
                </c:pt>
                <c:pt idx="1">
                  <c:v>R02</c:v>
                </c:pt>
                <c:pt idx="2">
                  <c:v>R03</c:v>
                </c:pt>
                <c:pt idx="3">
                  <c:v>R04</c:v>
                </c:pt>
                <c:pt idx="4">
                  <c:v>R05</c:v>
                </c:pt>
              </c:strCache>
            </c:strRef>
          </c:cat>
          <c:val>
            <c:numRef>
              <c:f>'Dashboard Pivots'!$G$41:$G$45</c:f>
              <c:numCache>
                <c:formatCode>General</c:formatCode>
                <c:ptCount val="5"/>
                <c:pt idx="0">
                  <c:v>188</c:v>
                </c:pt>
                <c:pt idx="1">
                  <c:v>217</c:v>
                </c:pt>
                <c:pt idx="2">
                  <c:v>206</c:v>
                </c:pt>
                <c:pt idx="3">
                  <c:v>184</c:v>
                </c:pt>
                <c:pt idx="4">
                  <c:v>200</c:v>
                </c:pt>
              </c:numCache>
            </c:numRef>
          </c:val>
          <c:extLst>
            <c:ext xmlns:c16="http://schemas.microsoft.com/office/drawing/2014/chart" uri="{C3380CC4-5D6E-409C-BE32-E72D297353CC}">
              <c16:uniqueId val="{00000000-A0A8-49E6-BF72-3A55468563AA}"/>
            </c:ext>
          </c:extLst>
        </c:ser>
        <c:ser>
          <c:idx val="1"/>
          <c:order val="1"/>
          <c:tx>
            <c:strRef>
              <c:f>'Dashboard Pivots'!$I$40</c:f>
              <c:strCache>
                <c:ptCount val="1"/>
                <c:pt idx="0">
                  <c:v>Sel_Calls</c:v>
                </c:pt>
              </c:strCache>
            </c:strRef>
          </c:tx>
          <c:spPr>
            <a:gradFill>
              <a:gsLst>
                <a:gs pos="0">
                  <a:schemeClr val="accent1">
                    <a:lumMod val="20000"/>
                    <a:lumOff val="80000"/>
                  </a:schemeClr>
                </a:gs>
                <a:gs pos="100000">
                  <a:schemeClr val="accent1">
                    <a:lumMod val="75000"/>
                  </a:schemeClr>
                </a:gs>
                <a:gs pos="100000">
                  <a:schemeClr val="accent1">
                    <a:lumMod val="50000"/>
                  </a:schemeClr>
                </a:gs>
              </a:gsLst>
              <a:lin ang="18900000" scaled="1"/>
            </a:gradFill>
            <a:ln>
              <a:noFill/>
            </a:ln>
            <a:effectLst/>
          </c:spPr>
          <c:invertIfNegative val="0"/>
          <c:dLbls>
            <c:delete val="1"/>
          </c:dLbls>
          <c:val>
            <c:numRef>
              <c:f>'Dashboard Pivots'!$I$41:$I$45</c:f>
              <c:numCache>
                <c:formatCode>General</c:formatCode>
                <c:ptCount val="5"/>
                <c:pt idx="0">
                  <c:v>188</c:v>
                </c:pt>
                <c:pt idx="1">
                  <c:v>#N/A</c:v>
                </c:pt>
                <c:pt idx="2">
                  <c:v>#N/A</c:v>
                </c:pt>
                <c:pt idx="3">
                  <c:v>#N/A</c:v>
                </c:pt>
                <c:pt idx="4">
                  <c:v>#N/A</c:v>
                </c:pt>
              </c:numCache>
            </c:numRef>
          </c:val>
          <c:extLst>
            <c:ext xmlns:c16="http://schemas.microsoft.com/office/drawing/2014/chart" uri="{C3380CC4-5D6E-409C-BE32-E72D297353CC}">
              <c16:uniqueId val="{00000001-A0A8-49E6-BF72-3A55468563AA}"/>
            </c:ext>
          </c:extLst>
        </c:ser>
        <c:dLbls>
          <c:dLblPos val="outEnd"/>
          <c:showLegendKey val="0"/>
          <c:showVal val="1"/>
          <c:showCatName val="0"/>
          <c:showSerName val="0"/>
          <c:showPercent val="0"/>
          <c:showBubbleSize val="0"/>
        </c:dLbls>
        <c:gapWidth val="25"/>
        <c:overlap val="100"/>
        <c:axId val="1568506896"/>
        <c:axId val="1663810192"/>
      </c:barChart>
      <c:catAx>
        <c:axId val="1568506896"/>
        <c:scaling>
          <c:orientation val="maxMin"/>
        </c:scaling>
        <c:delete val="1"/>
        <c:axPos val="l"/>
        <c:numFmt formatCode="General" sourceLinked="1"/>
        <c:majorTickMark val="out"/>
        <c:minorTickMark val="none"/>
        <c:tickLblPos val="nextTo"/>
        <c:crossAx val="1663810192"/>
        <c:crosses val="autoZero"/>
        <c:auto val="1"/>
        <c:lblAlgn val="ctr"/>
        <c:lblOffset val="100"/>
        <c:noMultiLvlLbl val="0"/>
      </c:catAx>
      <c:valAx>
        <c:axId val="1663810192"/>
        <c:scaling>
          <c:orientation val="minMax"/>
        </c:scaling>
        <c:delete val="1"/>
        <c:axPos val="t"/>
        <c:numFmt formatCode="General" sourceLinked="1"/>
        <c:majorTickMark val="out"/>
        <c:minorTickMark val="none"/>
        <c:tickLblPos val="nextTo"/>
        <c:crossAx val="15685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latin typeface="+mj-lt"/>
              </a:rPr>
              <a:t>Calls</a:t>
            </a:r>
          </a:p>
        </c:rich>
      </c:tx>
      <c:layout>
        <c:manualLayout>
          <c:xMode val="edge"/>
          <c:yMode val="edge"/>
          <c:x val="8.3734687590789211E-2"/>
          <c:y val="3.8175166903633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Pivots'!$F$41:$F$45</c:f>
              <c:strCache>
                <c:ptCount val="5"/>
                <c:pt idx="0">
                  <c:v>R01</c:v>
                </c:pt>
                <c:pt idx="1">
                  <c:v>R02</c:v>
                </c:pt>
                <c:pt idx="2">
                  <c:v>R03</c:v>
                </c:pt>
                <c:pt idx="3">
                  <c:v>R04</c:v>
                </c:pt>
                <c:pt idx="4">
                  <c:v>R05</c:v>
                </c:pt>
              </c:strCache>
            </c:strRef>
          </c:cat>
          <c:val>
            <c:numRef>
              <c:f>'Dashboard Pivots'!$H$41:$H$45</c:f>
              <c:numCache>
                <c:formatCode>"$"#,###.0,"k"</c:formatCode>
                <c:ptCount val="5"/>
                <c:pt idx="0">
                  <c:v>18375</c:v>
                </c:pt>
                <c:pt idx="1">
                  <c:v>20535</c:v>
                </c:pt>
                <c:pt idx="2">
                  <c:v>20818</c:v>
                </c:pt>
                <c:pt idx="3">
                  <c:v>16582</c:v>
                </c:pt>
                <c:pt idx="4">
                  <c:v>20104</c:v>
                </c:pt>
              </c:numCache>
            </c:numRef>
          </c:val>
          <c:extLst>
            <c:ext xmlns:c16="http://schemas.microsoft.com/office/drawing/2014/chart" uri="{C3380CC4-5D6E-409C-BE32-E72D297353CC}">
              <c16:uniqueId val="{00000000-C320-4C34-9DD3-DBC67C423D91}"/>
            </c:ext>
          </c:extLst>
        </c:ser>
        <c:ser>
          <c:idx val="1"/>
          <c:order val="1"/>
          <c:tx>
            <c:strRef>
              <c:f>'Dashboard Pivots'!$J$40</c:f>
              <c:strCache>
                <c:ptCount val="1"/>
                <c:pt idx="0">
                  <c:v>Sel_Amount</c:v>
                </c:pt>
              </c:strCache>
            </c:strRef>
          </c:tx>
          <c:spPr>
            <a:gradFill>
              <a:gsLst>
                <a:gs pos="0">
                  <a:schemeClr val="accent1">
                    <a:lumMod val="40000"/>
                    <a:lumOff val="60000"/>
                  </a:schemeClr>
                </a:gs>
                <a:gs pos="100000">
                  <a:schemeClr val="accent1">
                    <a:lumMod val="75000"/>
                  </a:schemeClr>
                </a:gs>
                <a:gs pos="100000">
                  <a:schemeClr val="accent1">
                    <a:lumMod val="50000"/>
                  </a:schemeClr>
                </a:gs>
              </a:gsLst>
              <a:lin ang="18900000" scaled="1"/>
            </a:gradFill>
            <a:ln>
              <a:noFill/>
            </a:ln>
            <a:effectLst/>
          </c:spPr>
          <c:invertIfNegative val="0"/>
          <c:dLbls>
            <c:delete val="1"/>
          </c:dLbls>
          <c:val>
            <c:numRef>
              <c:f>'Dashboard Pivots'!$J$41:$J$45</c:f>
              <c:numCache>
                <c:formatCode>General</c:formatCode>
                <c:ptCount val="5"/>
                <c:pt idx="0">
                  <c:v>18375</c:v>
                </c:pt>
                <c:pt idx="1">
                  <c:v>#N/A</c:v>
                </c:pt>
                <c:pt idx="2">
                  <c:v>#N/A</c:v>
                </c:pt>
                <c:pt idx="3">
                  <c:v>#N/A</c:v>
                </c:pt>
                <c:pt idx="4">
                  <c:v>#N/A</c:v>
                </c:pt>
              </c:numCache>
            </c:numRef>
          </c:val>
          <c:extLst>
            <c:ext xmlns:c16="http://schemas.microsoft.com/office/drawing/2014/chart" uri="{C3380CC4-5D6E-409C-BE32-E72D297353CC}">
              <c16:uniqueId val="{00000001-C320-4C34-9DD3-DBC67C423D91}"/>
            </c:ext>
          </c:extLst>
        </c:ser>
        <c:dLbls>
          <c:dLblPos val="outEnd"/>
          <c:showLegendKey val="0"/>
          <c:showVal val="1"/>
          <c:showCatName val="0"/>
          <c:showSerName val="0"/>
          <c:showPercent val="0"/>
          <c:showBubbleSize val="0"/>
        </c:dLbls>
        <c:gapWidth val="25"/>
        <c:overlap val="100"/>
        <c:axId val="1568506896"/>
        <c:axId val="1663810192"/>
      </c:barChart>
      <c:catAx>
        <c:axId val="156850689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810192"/>
        <c:crosses val="autoZero"/>
        <c:auto val="1"/>
        <c:lblAlgn val="ctr"/>
        <c:lblOffset val="100"/>
        <c:noMultiLvlLbl val="0"/>
      </c:catAx>
      <c:valAx>
        <c:axId val="1663810192"/>
        <c:scaling>
          <c:orientation val="minMax"/>
        </c:scaling>
        <c:delete val="1"/>
        <c:axPos val="t"/>
        <c:numFmt formatCode="&quot;$&quot;#,###.0,&quot;k&quot;" sourceLinked="1"/>
        <c:majorTickMark val="none"/>
        <c:minorTickMark val="none"/>
        <c:tickLblPos val="nextTo"/>
        <c:crossAx val="15685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[Calls_Centre_KPI_dashboard.xlsx]Dashboard 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lumMod val="85000"/>
                  </a:schemeClr>
                </a:solidFill>
                <a:latin typeface="+mj-lt"/>
              </a:rPr>
              <a:t>Female</a:t>
            </a:r>
            <a:r>
              <a:rPr lang="en-US" sz="1200">
                <a:latin typeface="+mj-lt"/>
              </a:rPr>
              <a:t> Vs </a:t>
            </a:r>
            <a:r>
              <a:rPr lang="en-US" sz="1200">
                <a:solidFill>
                  <a:schemeClr val="accent1"/>
                </a:solidFill>
                <a:latin typeface="+mj-lt"/>
              </a:rPr>
              <a:t>Male</a:t>
            </a:r>
            <a:r>
              <a:rPr lang="en-US" sz="1200">
                <a:latin typeface="+mj-lt"/>
              </a:rPr>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 Pivots'!$B$66:$B$67</c:f>
              <c:strCache>
                <c:ptCount val="1"/>
                <c:pt idx="0">
                  <c:v>Female</c:v>
                </c:pt>
              </c:strCache>
            </c:strRef>
          </c:tx>
          <c:spPr>
            <a:solidFill>
              <a:schemeClr val="bg1">
                <a:lumMod val="85000"/>
              </a:schemeClr>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 Pivots'!$A$68:$A$71</c:f>
              <c:strCache>
                <c:ptCount val="3"/>
                <c:pt idx="0">
                  <c:v>Cincinnati</c:v>
                </c:pt>
                <c:pt idx="1">
                  <c:v>Cleveland</c:v>
                </c:pt>
                <c:pt idx="2">
                  <c:v>Columbus</c:v>
                </c:pt>
              </c:strCache>
            </c:strRef>
          </c:cat>
          <c:val>
            <c:numRef>
              <c:f>'Dashboard Pivots'!$B$68:$B$71</c:f>
              <c:numCache>
                <c:formatCode>#,##0</c:formatCode>
                <c:ptCount val="3"/>
                <c:pt idx="0">
                  <c:v>144</c:v>
                </c:pt>
                <c:pt idx="1">
                  <c:v>325</c:v>
                </c:pt>
                <c:pt idx="2">
                  <c:v>127</c:v>
                </c:pt>
              </c:numCache>
            </c:numRef>
          </c:val>
          <c:extLst>
            <c:ext xmlns:c16="http://schemas.microsoft.com/office/drawing/2014/chart" uri="{C3380CC4-5D6E-409C-BE32-E72D297353CC}">
              <c16:uniqueId val="{00000000-A8EF-423E-B650-418062EB47D6}"/>
            </c:ext>
          </c:extLst>
        </c:ser>
        <c:ser>
          <c:idx val="1"/>
          <c:order val="1"/>
          <c:tx>
            <c:strRef>
              <c:f>'Dashboard Pivots'!$C$66:$C$67</c:f>
              <c:strCache>
                <c:ptCount val="1"/>
                <c:pt idx="0">
                  <c:v>Male</c:v>
                </c:pt>
              </c:strCache>
            </c:strRef>
          </c:tx>
          <c:spPr>
            <a:solidFill>
              <a:schemeClr val="accent1"/>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 Pivots'!$A$68:$A$71</c:f>
              <c:strCache>
                <c:ptCount val="3"/>
                <c:pt idx="0">
                  <c:v>Cincinnati</c:v>
                </c:pt>
                <c:pt idx="1">
                  <c:v>Cleveland</c:v>
                </c:pt>
                <c:pt idx="2">
                  <c:v>Columbus</c:v>
                </c:pt>
              </c:strCache>
            </c:strRef>
          </c:cat>
          <c:val>
            <c:numRef>
              <c:f>'Dashboard Pivots'!$C$68:$C$71</c:f>
              <c:numCache>
                <c:formatCode>#,##0</c:formatCode>
                <c:ptCount val="3"/>
                <c:pt idx="0">
                  <c:v>131</c:v>
                </c:pt>
                <c:pt idx="1">
                  <c:v>63</c:v>
                </c:pt>
                <c:pt idx="2">
                  <c:v>205</c:v>
                </c:pt>
              </c:numCache>
            </c:numRef>
          </c:val>
          <c:extLst>
            <c:ext xmlns:c16="http://schemas.microsoft.com/office/drawing/2014/chart" uri="{C3380CC4-5D6E-409C-BE32-E72D297353CC}">
              <c16:uniqueId val="{00000001-A8EF-423E-B650-418062EB47D6}"/>
            </c:ext>
          </c:extLst>
        </c:ser>
        <c:dLbls>
          <c:dLblPos val="ctr"/>
          <c:showLegendKey val="0"/>
          <c:showVal val="1"/>
          <c:showCatName val="0"/>
          <c:showSerName val="0"/>
          <c:showPercent val="0"/>
          <c:showBubbleSize val="0"/>
        </c:dLbls>
        <c:gapWidth val="25"/>
        <c:overlap val="100"/>
        <c:axId val="1558935471"/>
        <c:axId val="743233999"/>
      </c:barChart>
      <c:catAx>
        <c:axId val="1558935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233999"/>
        <c:crosses val="autoZero"/>
        <c:auto val="1"/>
        <c:lblAlgn val="ctr"/>
        <c:lblOffset val="100"/>
        <c:noMultiLvlLbl val="0"/>
      </c:catAx>
      <c:valAx>
        <c:axId val="743233999"/>
        <c:scaling>
          <c:orientation val="minMax"/>
        </c:scaling>
        <c:delete val="1"/>
        <c:axPos val="l"/>
        <c:numFmt formatCode="0%" sourceLinked="1"/>
        <c:majorTickMark val="out"/>
        <c:minorTickMark val="none"/>
        <c:tickLblPos val="nextTo"/>
        <c:crossAx val="155893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[Calls_Centre_KPI_dashboard.xlsx]Dashboard Pivots!rep satsifaction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Pivots'!$B$81</c:f>
              <c:strCache>
                <c:ptCount val="1"/>
                <c:pt idx="0">
                  <c:v>Total</c:v>
                </c:pt>
              </c:strCache>
            </c:strRef>
          </c:tx>
          <c:spPr>
            <a:solidFill>
              <a:schemeClr val="tx2">
                <a:lumMod val="75000"/>
              </a:schemeClr>
            </a:solidFill>
            <a:ln>
              <a:noFill/>
            </a:ln>
            <a:effectLst/>
          </c:spPr>
          <c:invertIfNegative val="0"/>
          <c:cat>
            <c:strRef>
              <c:f>'Dashboard Pivots'!$A$82:$A$87</c:f>
              <c:strCache>
                <c:ptCount val="5"/>
                <c:pt idx="0">
                  <c:v>1</c:v>
                </c:pt>
                <c:pt idx="1">
                  <c:v>2</c:v>
                </c:pt>
                <c:pt idx="2">
                  <c:v>3</c:v>
                </c:pt>
                <c:pt idx="3">
                  <c:v>4</c:v>
                </c:pt>
                <c:pt idx="4">
                  <c:v>5</c:v>
                </c:pt>
              </c:strCache>
            </c:strRef>
          </c:cat>
          <c:val>
            <c:numRef>
              <c:f>'Dashboard Pivots'!$B$82:$B$87</c:f>
              <c:numCache>
                <c:formatCode>#,##0</c:formatCode>
                <c:ptCount val="5"/>
                <c:pt idx="0">
                  <c:v>1</c:v>
                </c:pt>
                <c:pt idx="1">
                  <c:v>9</c:v>
                </c:pt>
                <c:pt idx="2">
                  <c:v>31</c:v>
                </c:pt>
                <c:pt idx="3">
                  <c:v>99</c:v>
                </c:pt>
                <c:pt idx="4">
                  <c:v>48</c:v>
                </c:pt>
              </c:numCache>
            </c:numRef>
          </c:val>
          <c:extLst>
            <c:ext xmlns:c16="http://schemas.microsoft.com/office/drawing/2014/chart" uri="{C3380CC4-5D6E-409C-BE32-E72D297353CC}">
              <c16:uniqueId val="{00000000-F51F-42AE-8DB4-248D6A46D5D6}"/>
            </c:ext>
          </c:extLst>
        </c:ser>
        <c:dLbls>
          <c:showLegendKey val="0"/>
          <c:showVal val="0"/>
          <c:showCatName val="0"/>
          <c:showSerName val="0"/>
          <c:showPercent val="0"/>
          <c:showBubbleSize val="0"/>
        </c:dLbls>
        <c:gapWidth val="25"/>
        <c:overlap val="-27"/>
        <c:axId val="1596887055"/>
        <c:axId val="1568764943"/>
      </c:barChart>
      <c:catAx>
        <c:axId val="159688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764943"/>
        <c:crosses val="autoZero"/>
        <c:auto val="1"/>
        <c:lblAlgn val="ctr"/>
        <c:lblOffset val="100"/>
        <c:noMultiLvlLbl val="0"/>
      </c:catAx>
      <c:valAx>
        <c:axId val="1568764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88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3</xdr:col>
      <xdr:colOff>504825</xdr:colOff>
      <xdr:row>59</xdr:row>
      <xdr:rowOff>9526</xdr:rowOff>
    </xdr:from>
    <xdr:to>
      <xdr:col>9</xdr:col>
      <xdr:colOff>142875</xdr:colOff>
      <xdr:row>72</xdr:row>
      <xdr:rowOff>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4B245CD1-1EA4-18DF-5279-3C663E77B90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029075" y="11249026"/>
              <a:ext cx="1619250" cy="2466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114299</xdr:colOff>
      <xdr:row>58</xdr:row>
      <xdr:rowOff>161925</xdr:rowOff>
    </xdr:from>
    <xdr:to>
      <xdr:col>18</xdr:col>
      <xdr:colOff>209549</xdr:colOff>
      <xdr:row>71</xdr:row>
      <xdr:rowOff>180975</xdr:rowOff>
    </xdr:to>
    <xdr:graphicFrame macro="">
      <xdr:nvGraphicFramePr>
        <xdr:cNvPr id="4" name="Chart 3">
          <a:extLst>
            <a:ext uri="{FF2B5EF4-FFF2-40B4-BE49-F238E27FC236}">
              <a16:creationId xmlns:a16="http://schemas.microsoft.com/office/drawing/2014/main" id="{12C95B5D-A841-64FC-EEB8-6C918C688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100012</xdr:colOff>
      <xdr:row>74</xdr:row>
      <xdr:rowOff>152400</xdr:rowOff>
    </xdr:from>
    <xdr:to>
      <xdr:col>18</xdr:col>
      <xdr:colOff>438150</xdr:colOff>
      <xdr:row>90</xdr:row>
      <xdr:rowOff>19050</xdr:rowOff>
    </xdr:to>
    <xdr:graphicFrame macro="">
      <xdr:nvGraphicFramePr>
        <xdr:cNvPr id="5" name="Chart 4">
          <a:extLst>
            <a:ext uri="{FF2B5EF4-FFF2-40B4-BE49-F238E27FC236}">
              <a16:creationId xmlns:a16="http://schemas.microsoft.com/office/drawing/2014/main" id="{06693FE0-9635-D116-D229-6373B51E5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75</xdr:row>
      <xdr:rowOff>19049</xdr:rowOff>
    </xdr:from>
    <xdr:to>
      <xdr:col>9</xdr:col>
      <xdr:colOff>200025</xdr:colOff>
      <xdr:row>90</xdr:row>
      <xdr:rowOff>9524</xdr:rowOff>
    </xdr:to>
    <mc:AlternateContent xmlns:mc="http://schemas.openxmlformats.org/markup-compatibility/2006" xmlns:a14="http://schemas.microsoft.com/office/drawing/2010/main">
      <mc:Choice Requires="a14">
        <xdr:graphicFrame macro="">
          <xdr:nvGraphicFramePr>
            <xdr:cNvPr id="6" name="Representative 1">
              <a:extLst>
                <a:ext uri="{FF2B5EF4-FFF2-40B4-BE49-F238E27FC236}">
                  <a16:creationId xmlns:a16="http://schemas.microsoft.com/office/drawing/2014/main" id="{B9F451B0-8666-ED68-2456-44E79BBC5225}"/>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4048125" y="14306549"/>
              <a:ext cx="1676400" cy="2838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576262</xdr:colOff>
      <xdr:row>93</xdr:row>
      <xdr:rowOff>4762</xdr:rowOff>
    </xdr:from>
    <xdr:to>
      <xdr:col>10</xdr:col>
      <xdr:colOff>323850</xdr:colOff>
      <xdr:row>109</xdr:row>
      <xdr:rowOff>0</xdr:rowOff>
    </xdr:to>
    <xdr:graphicFrame macro="">
      <xdr:nvGraphicFramePr>
        <xdr:cNvPr id="9" name="Chart 8">
          <a:extLst>
            <a:ext uri="{FF2B5EF4-FFF2-40B4-BE49-F238E27FC236}">
              <a16:creationId xmlns:a16="http://schemas.microsoft.com/office/drawing/2014/main" id="{7FB9C98F-F6AA-38B4-D249-FEAF858C1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19050</xdr:colOff>
      <xdr:row>21</xdr:row>
      <xdr:rowOff>57150</xdr:rowOff>
    </xdr:from>
    <xdr:to>
      <xdr:col>14</xdr:col>
      <xdr:colOff>438150</xdr:colOff>
      <xdr:row>30</xdr:row>
      <xdr:rowOff>152399</xdr:rowOff>
    </xdr:to>
    <mc:AlternateContent xmlns:mc="http://schemas.openxmlformats.org/markup-compatibility/2006" xmlns:a14="http://schemas.microsoft.com/office/drawing/2010/main">
      <mc:Choice Requires="a14">
        <xdr:graphicFrame macro="">
          <xdr:nvGraphicFramePr>
            <xdr:cNvPr id="35" name="Representative 2">
              <a:extLst>
                <a:ext uri="{FF2B5EF4-FFF2-40B4-BE49-F238E27FC236}">
                  <a16:creationId xmlns:a16="http://schemas.microsoft.com/office/drawing/2014/main" id="{4A4A6699-C812-45B2-B0F3-67A6574B0C8F}"/>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8058150" y="4324350"/>
              <a:ext cx="1104900" cy="180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495299</xdr:colOff>
      <xdr:row>16</xdr:row>
      <xdr:rowOff>38099</xdr:rowOff>
    </xdr:from>
    <xdr:to>
      <xdr:col>13</xdr:col>
      <xdr:colOff>28574</xdr:colOff>
      <xdr:row>34</xdr:row>
      <xdr:rowOff>180974</xdr:rowOff>
    </xdr:to>
    <xdr:sp macro="" textlink="">
      <xdr:nvSpPr>
        <xdr:cNvPr id="40" name="Rectangle 39">
          <a:extLst>
            <a:ext uri="{FF2B5EF4-FFF2-40B4-BE49-F238E27FC236}">
              <a16:creationId xmlns:a16="http://schemas.microsoft.com/office/drawing/2014/main" id="{B58770ED-F463-7F79-7E6A-A005B9EF4A43}"/>
            </a:ext>
          </a:extLst>
        </xdr:cNvPr>
        <xdr:cNvSpPr/>
      </xdr:nvSpPr>
      <xdr:spPr>
        <a:xfrm>
          <a:off x="2362199" y="3086099"/>
          <a:ext cx="5705475" cy="3571875"/>
        </a:xfrm>
        <a:prstGeom prst="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209549</xdr:colOff>
      <xdr:row>2</xdr:row>
      <xdr:rowOff>104775</xdr:rowOff>
    </xdr:from>
    <xdr:to>
      <xdr:col>3</xdr:col>
      <xdr:colOff>676274</xdr:colOff>
      <xdr:row>7</xdr:row>
      <xdr:rowOff>66675</xdr:rowOff>
    </xdr:to>
    <xdr:sp macro="" textlink="'Dashboard Pivots'!A4">
      <xdr:nvSpPr>
        <xdr:cNvPr id="2" name="Rectangle 1">
          <a:extLst>
            <a:ext uri="{FF2B5EF4-FFF2-40B4-BE49-F238E27FC236}">
              <a16:creationId xmlns:a16="http://schemas.microsoft.com/office/drawing/2014/main" id="{7A8DEAFF-E495-967A-0864-5BD78E7DF0E5}"/>
            </a:ext>
          </a:extLst>
        </xdr:cNvPr>
        <xdr:cNvSpPr/>
      </xdr:nvSpPr>
      <xdr:spPr>
        <a:xfrm>
          <a:off x="476249" y="485775"/>
          <a:ext cx="1381125" cy="914400"/>
        </a:xfrm>
        <a:prstGeom prst="rect">
          <a:avLst/>
        </a:prstGeom>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0AE709C-CDF0-49AA-8192-E6AD2704A871}" type="TxLink">
            <a:rPr lang="en-US" sz="2400" b="0" i="0" u="none" strike="noStrike">
              <a:solidFill>
                <a:schemeClr val="bg1"/>
              </a:solidFill>
              <a:latin typeface="+mj-lt"/>
              <a:ea typeface="+mn-ea"/>
              <a:cs typeface="+mn-cs"/>
            </a:rPr>
            <a:pPr marL="0" indent="0" algn="ctr"/>
            <a:t>995</a:t>
          </a:fld>
          <a:endParaRPr lang="en-US" sz="2400" b="0" i="0" u="none" strike="noStrike">
            <a:solidFill>
              <a:schemeClr val="bg1"/>
            </a:solidFill>
            <a:latin typeface="+mj-lt"/>
            <a:ea typeface="+mn-ea"/>
            <a:cs typeface="+mn-cs"/>
          </a:endParaRPr>
        </a:p>
      </xdr:txBody>
    </xdr:sp>
    <xdr:clientData/>
  </xdr:twoCellAnchor>
  <xdr:oneCellAnchor>
    <xdr:from>
      <xdr:col>2</xdr:col>
      <xdr:colOff>323850</xdr:colOff>
      <xdr:row>2</xdr:row>
      <xdr:rowOff>133350</xdr:rowOff>
    </xdr:from>
    <xdr:ext cx="676275" cy="264560"/>
    <xdr:sp macro="" textlink="">
      <xdr:nvSpPr>
        <xdr:cNvPr id="3" name="TextBox 2">
          <a:extLst>
            <a:ext uri="{FF2B5EF4-FFF2-40B4-BE49-F238E27FC236}">
              <a16:creationId xmlns:a16="http://schemas.microsoft.com/office/drawing/2014/main" id="{95BF0F33-1C68-F504-8AF9-DE14DC570775}"/>
            </a:ext>
          </a:extLst>
        </xdr:cNvPr>
        <xdr:cNvSpPr txBox="1"/>
      </xdr:nvSpPr>
      <xdr:spPr>
        <a:xfrm>
          <a:off x="819150" y="514350"/>
          <a:ext cx="6762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i="0" u="none" strike="noStrike">
              <a:solidFill>
                <a:schemeClr val="bg1"/>
              </a:solidFill>
              <a:latin typeface="+mj-lt"/>
              <a:ea typeface="+mn-ea"/>
              <a:cs typeface="+mn-cs"/>
            </a:rPr>
            <a:t>Calls</a:t>
          </a:r>
          <a:endParaRPr lang="en-US" sz="1400" b="0" i="0" u="none" strike="noStrike">
            <a:solidFill>
              <a:schemeClr val="bg1"/>
            </a:solidFill>
            <a:latin typeface="+mj-lt"/>
            <a:ea typeface="+mn-ea"/>
            <a:cs typeface="+mn-cs"/>
          </a:endParaRPr>
        </a:p>
      </xdr:txBody>
    </xdr:sp>
    <xdr:clientData/>
  </xdr:oneCellAnchor>
  <xdr:twoCellAnchor editAs="oneCell">
    <xdr:from>
      <xdr:col>1</xdr:col>
      <xdr:colOff>219076</xdr:colOff>
      <xdr:row>2</xdr:row>
      <xdr:rowOff>142876</xdr:rowOff>
    </xdr:from>
    <xdr:to>
      <xdr:col>2</xdr:col>
      <xdr:colOff>257176</xdr:colOff>
      <xdr:row>4</xdr:row>
      <xdr:rowOff>28576</xdr:rowOff>
    </xdr:to>
    <xdr:pic>
      <xdr:nvPicPr>
        <xdr:cNvPr id="4" name="Graphic 3" descr="Speaker phone with solid fill">
          <a:extLst>
            <a:ext uri="{FF2B5EF4-FFF2-40B4-BE49-F238E27FC236}">
              <a16:creationId xmlns:a16="http://schemas.microsoft.com/office/drawing/2014/main" id="{93A68731-5F5A-445E-87FB-CEF5B2F08C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5776" y="523876"/>
          <a:ext cx="266700" cy="266700"/>
        </a:xfrm>
        <a:prstGeom prst="rect">
          <a:avLst/>
        </a:prstGeom>
      </xdr:spPr>
    </xdr:pic>
    <xdr:clientData/>
  </xdr:twoCellAnchor>
  <xdr:oneCellAnchor>
    <xdr:from>
      <xdr:col>2</xdr:col>
      <xdr:colOff>247650</xdr:colOff>
      <xdr:row>5</xdr:row>
      <xdr:rowOff>133350</xdr:rowOff>
    </xdr:from>
    <xdr:ext cx="628650" cy="264560"/>
    <xdr:sp macro="" textlink="'Dashboard Pivots'!A10">
      <xdr:nvSpPr>
        <xdr:cNvPr id="6" name="TextBox 5">
          <a:extLst>
            <a:ext uri="{FF2B5EF4-FFF2-40B4-BE49-F238E27FC236}">
              <a16:creationId xmlns:a16="http://schemas.microsoft.com/office/drawing/2014/main" id="{1FB4535A-F842-6637-D07C-2FF1034D9A89}"/>
            </a:ext>
          </a:extLst>
        </xdr:cNvPr>
        <xdr:cNvSpPr txBox="1"/>
      </xdr:nvSpPr>
      <xdr:spPr>
        <a:xfrm>
          <a:off x="742950" y="1085850"/>
          <a:ext cx="628650" cy="264560"/>
        </a:xfrm>
        <a:prstGeom prst="rect">
          <a:avLst/>
        </a:prstGeom>
        <a:solidFill>
          <a:schemeClr val="accent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r"/>
          <a:fld id="{F7901EF5-1E08-41AF-910F-6B437562EB9D}" type="TxLink">
            <a:rPr lang="en-US" sz="1100" b="0" i="0" u="none" strike="noStrike">
              <a:solidFill>
                <a:schemeClr val="bg1"/>
              </a:solidFill>
              <a:latin typeface="+mn-lt"/>
              <a:ea typeface="+mn-ea"/>
              <a:cs typeface="+mn-cs"/>
            </a:rPr>
            <a:pPr marL="0" indent="0" algn="r"/>
            <a:t>188</a:t>
          </a:fld>
          <a:endParaRPr lang="en-US" sz="1100" b="0" i="0" u="none" strike="noStrike">
            <a:solidFill>
              <a:schemeClr val="bg1"/>
            </a:solidFill>
            <a:latin typeface="+mn-lt"/>
            <a:ea typeface="+mn-ea"/>
            <a:cs typeface="+mn-cs"/>
          </a:endParaRPr>
        </a:p>
      </xdr:txBody>
    </xdr:sp>
    <xdr:clientData/>
  </xdr:oneCellAnchor>
  <xdr:twoCellAnchor>
    <xdr:from>
      <xdr:col>2</xdr:col>
      <xdr:colOff>0</xdr:colOff>
      <xdr:row>9</xdr:row>
      <xdr:rowOff>9525</xdr:rowOff>
    </xdr:from>
    <xdr:to>
      <xdr:col>4</xdr:col>
      <xdr:colOff>0</xdr:colOff>
      <xdr:row>13</xdr:row>
      <xdr:rowOff>161925</xdr:rowOff>
    </xdr:to>
    <xdr:sp macro="" textlink="'Dashboard Pivots'!B4">
      <xdr:nvSpPr>
        <xdr:cNvPr id="11" name="Rectangle 10">
          <a:extLst>
            <a:ext uri="{FF2B5EF4-FFF2-40B4-BE49-F238E27FC236}">
              <a16:creationId xmlns:a16="http://schemas.microsoft.com/office/drawing/2014/main" id="{A6F7246E-8E7B-4E64-A4D9-C5257338B712}"/>
            </a:ext>
          </a:extLst>
        </xdr:cNvPr>
        <xdr:cNvSpPr/>
      </xdr:nvSpPr>
      <xdr:spPr>
        <a:xfrm>
          <a:off x="495300" y="1724025"/>
          <a:ext cx="1371600" cy="914400"/>
        </a:xfrm>
        <a:prstGeom prst="rect">
          <a:avLst/>
        </a:prstGeom>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359FFA-14FB-4928-8318-281596059F51}" type="TxLink">
            <a:rPr lang="en-US" sz="2400" b="0" i="0" u="none" strike="noStrike">
              <a:solidFill>
                <a:schemeClr val="bg1"/>
              </a:solidFill>
              <a:latin typeface="+mj-lt"/>
              <a:ea typeface="+mn-ea"/>
              <a:cs typeface="+mn-cs"/>
            </a:rPr>
            <a:pPr marL="0" indent="0" algn="ctr"/>
            <a:t>$96,414</a:t>
          </a:fld>
          <a:endParaRPr lang="en-US" sz="2400" b="0" i="0" u="none" strike="noStrike">
            <a:solidFill>
              <a:schemeClr val="bg1"/>
            </a:solidFill>
            <a:latin typeface="+mj-lt"/>
            <a:ea typeface="+mn-ea"/>
            <a:cs typeface="+mn-cs"/>
          </a:endParaRPr>
        </a:p>
      </xdr:txBody>
    </xdr:sp>
    <xdr:clientData/>
  </xdr:twoCellAnchor>
  <xdr:oneCellAnchor>
    <xdr:from>
      <xdr:col>2</xdr:col>
      <xdr:colOff>323850</xdr:colOff>
      <xdr:row>9</xdr:row>
      <xdr:rowOff>45922</xdr:rowOff>
    </xdr:from>
    <xdr:ext cx="762000" cy="264560"/>
    <xdr:sp macro="" textlink="">
      <xdr:nvSpPr>
        <xdr:cNvPr id="12" name="TextBox 11">
          <a:extLst>
            <a:ext uri="{FF2B5EF4-FFF2-40B4-BE49-F238E27FC236}">
              <a16:creationId xmlns:a16="http://schemas.microsoft.com/office/drawing/2014/main" id="{F97F3D32-9924-4EF6-A88F-FB9F639486FE}"/>
            </a:ext>
          </a:extLst>
        </xdr:cNvPr>
        <xdr:cNvSpPr txBox="1"/>
      </xdr:nvSpPr>
      <xdr:spPr>
        <a:xfrm>
          <a:off x="819150" y="1760422"/>
          <a:ext cx="762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0" i="0" u="none" strike="noStrike">
              <a:solidFill>
                <a:schemeClr val="bg1"/>
              </a:solidFill>
              <a:latin typeface="+mj-lt"/>
              <a:ea typeface="+mn-ea"/>
              <a:cs typeface="+mn-cs"/>
            </a:rPr>
            <a:t>Amount</a:t>
          </a:r>
          <a:endParaRPr lang="en-US" sz="1200" b="0" i="0" u="none" strike="noStrike">
            <a:solidFill>
              <a:schemeClr val="bg1"/>
            </a:solidFill>
            <a:latin typeface="+mj-lt"/>
            <a:ea typeface="+mn-ea"/>
            <a:cs typeface="+mn-cs"/>
          </a:endParaRPr>
        </a:p>
      </xdr:txBody>
    </xdr:sp>
    <xdr:clientData/>
  </xdr:oneCellAnchor>
  <xdr:oneCellAnchor>
    <xdr:from>
      <xdr:col>2</xdr:col>
      <xdr:colOff>333375</xdr:colOff>
      <xdr:row>12</xdr:row>
      <xdr:rowOff>57150</xdr:rowOff>
    </xdr:from>
    <xdr:ext cx="685800" cy="264560"/>
    <xdr:sp macro="" textlink="'Dashboard Pivots'!B10">
      <xdr:nvSpPr>
        <xdr:cNvPr id="14" name="TextBox 13">
          <a:extLst>
            <a:ext uri="{FF2B5EF4-FFF2-40B4-BE49-F238E27FC236}">
              <a16:creationId xmlns:a16="http://schemas.microsoft.com/office/drawing/2014/main" id="{23BB243C-6C79-4112-9A9F-D923F77554E3}"/>
            </a:ext>
          </a:extLst>
        </xdr:cNvPr>
        <xdr:cNvSpPr txBox="1"/>
      </xdr:nvSpPr>
      <xdr:spPr>
        <a:xfrm>
          <a:off x="828675" y="2343150"/>
          <a:ext cx="685800" cy="264560"/>
        </a:xfrm>
        <a:prstGeom prst="rect">
          <a:avLst/>
        </a:prstGeom>
        <a:solidFill>
          <a:schemeClr val="accent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ED1BB631-3D35-4D90-BE05-632466C81753}" type="TxLink">
            <a:rPr lang="en-US" sz="1100" b="0" i="0" u="none" strike="noStrike">
              <a:solidFill>
                <a:schemeClr val="bg1"/>
              </a:solidFill>
              <a:latin typeface="+mn-lt"/>
              <a:ea typeface="+mn-ea"/>
              <a:cs typeface="+mn-cs"/>
            </a:rPr>
            <a:pPr marL="0" indent="0" algn="ctr"/>
            <a:t>$18,375</a:t>
          </a:fld>
          <a:endParaRPr lang="en-US" sz="1100" b="0" i="0" u="none" strike="noStrike">
            <a:solidFill>
              <a:schemeClr val="bg1"/>
            </a:solidFill>
            <a:latin typeface="+mn-lt"/>
            <a:ea typeface="+mn-ea"/>
            <a:cs typeface="+mn-cs"/>
          </a:endParaRPr>
        </a:p>
      </xdr:txBody>
    </xdr:sp>
    <xdr:clientData/>
  </xdr:oneCellAnchor>
  <xdr:twoCellAnchor>
    <xdr:from>
      <xdr:col>1</xdr:col>
      <xdr:colOff>219075</xdr:colOff>
      <xdr:row>15</xdr:row>
      <xdr:rowOff>123825</xdr:rowOff>
    </xdr:from>
    <xdr:to>
      <xdr:col>4</xdr:col>
      <xdr:colOff>9525</xdr:colOff>
      <xdr:row>20</xdr:row>
      <xdr:rowOff>85725</xdr:rowOff>
    </xdr:to>
    <xdr:sp macro="" textlink="'Dashboard Pivots'!C4">
      <xdr:nvSpPr>
        <xdr:cNvPr id="19" name="Rectangle 18">
          <a:extLst>
            <a:ext uri="{FF2B5EF4-FFF2-40B4-BE49-F238E27FC236}">
              <a16:creationId xmlns:a16="http://schemas.microsoft.com/office/drawing/2014/main" id="{8ECF0DFF-8B4A-47FD-A060-4F628A3A9031}"/>
            </a:ext>
          </a:extLst>
        </xdr:cNvPr>
        <xdr:cNvSpPr/>
      </xdr:nvSpPr>
      <xdr:spPr>
        <a:xfrm>
          <a:off x="485775" y="2981325"/>
          <a:ext cx="1390650" cy="914400"/>
        </a:xfrm>
        <a:prstGeom prst="rect">
          <a:avLst/>
        </a:prstGeom>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F25ABC-EAC2-4B4D-8B9A-3AE356689043}" type="TxLink">
            <a:rPr lang="en-US" sz="2400" b="0" i="0" u="none" strike="noStrike">
              <a:solidFill>
                <a:schemeClr val="bg1"/>
              </a:solidFill>
              <a:latin typeface="+mj-lt"/>
              <a:ea typeface="+mn-ea"/>
              <a:cs typeface="+mn-cs"/>
            </a:rPr>
            <a:pPr marL="0" indent="0" algn="ctr"/>
            <a:t>89,301</a:t>
          </a:fld>
          <a:endParaRPr lang="en-US" sz="2400" b="0" i="0" u="none" strike="noStrike">
            <a:solidFill>
              <a:schemeClr val="bg1"/>
            </a:solidFill>
            <a:latin typeface="+mj-lt"/>
            <a:ea typeface="+mn-ea"/>
            <a:cs typeface="+mn-cs"/>
          </a:endParaRPr>
        </a:p>
      </xdr:txBody>
    </xdr:sp>
    <xdr:clientData/>
  </xdr:twoCellAnchor>
  <xdr:oneCellAnchor>
    <xdr:from>
      <xdr:col>2</xdr:col>
      <xdr:colOff>257175</xdr:colOff>
      <xdr:row>15</xdr:row>
      <xdr:rowOff>179272</xdr:rowOff>
    </xdr:from>
    <xdr:ext cx="857250" cy="264560"/>
    <xdr:sp macro="" textlink="">
      <xdr:nvSpPr>
        <xdr:cNvPr id="20" name="TextBox 19">
          <a:extLst>
            <a:ext uri="{FF2B5EF4-FFF2-40B4-BE49-F238E27FC236}">
              <a16:creationId xmlns:a16="http://schemas.microsoft.com/office/drawing/2014/main" id="{884B026B-DF85-4CEE-8860-CCC5C398E80B}"/>
            </a:ext>
          </a:extLst>
        </xdr:cNvPr>
        <xdr:cNvSpPr txBox="1"/>
      </xdr:nvSpPr>
      <xdr:spPr>
        <a:xfrm>
          <a:off x="752475" y="3036772"/>
          <a:ext cx="857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0" i="0" u="none" strike="noStrike">
              <a:solidFill>
                <a:schemeClr val="bg1"/>
              </a:solidFill>
              <a:latin typeface="+mj-lt"/>
              <a:ea typeface="+mn-ea"/>
              <a:cs typeface="+mn-cs"/>
            </a:rPr>
            <a:t>Duration</a:t>
          </a:r>
          <a:endParaRPr lang="en-US" sz="1400" b="0" i="0" u="none" strike="noStrike">
            <a:solidFill>
              <a:schemeClr val="bg1"/>
            </a:solidFill>
            <a:latin typeface="+mj-lt"/>
            <a:ea typeface="+mn-ea"/>
            <a:cs typeface="+mn-cs"/>
          </a:endParaRPr>
        </a:p>
      </xdr:txBody>
    </xdr:sp>
    <xdr:clientData/>
  </xdr:oneCellAnchor>
  <xdr:oneCellAnchor>
    <xdr:from>
      <xdr:col>2</xdr:col>
      <xdr:colOff>342900</xdr:colOff>
      <xdr:row>18</xdr:row>
      <xdr:rowOff>152400</xdr:rowOff>
    </xdr:from>
    <xdr:ext cx="628650" cy="264560"/>
    <xdr:sp macro="" textlink="'Dashboard Pivots'!C10">
      <xdr:nvSpPr>
        <xdr:cNvPr id="22" name="TextBox 21">
          <a:extLst>
            <a:ext uri="{FF2B5EF4-FFF2-40B4-BE49-F238E27FC236}">
              <a16:creationId xmlns:a16="http://schemas.microsoft.com/office/drawing/2014/main" id="{E3FD29C8-F524-44E2-8003-A172907EE001}"/>
            </a:ext>
          </a:extLst>
        </xdr:cNvPr>
        <xdr:cNvSpPr txBox="1"/>
      </xdr:nvSpPr>
      <xdr:spPr>
        <a:xfrm>
          <a:off x="838200" y="3581400"/>
          <a:ext cx="628650" cy="264560"/>
        </a:xfrm>
        <a:prstGeom prst="rect">
          <a:avLst/>
        </a:prstGeom>
        <a:solidFill>
          <a:schemeClr val="accent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r"/>
          <a:fld id="{0D11FBD0-DFD8-413A-BD7B-6274FD2956B5}" type="TxLink">
            <a:rPr lang="en-US" sz="1100" b="0" i="0" u="none" strike="noStrike">
              <a:solidFill>
                <a:schemeClr val="bg1"/>
              </a:solidFill>
              <a:latin typeface="+mn-lt"/>
              <a:ea typeface="+mn-ea"/>
              <a:cs typeface="+mn-cs"/>
            </a:rPr>
            <a:pPr marL="0" indent="0" algn="r"/>
            <a:t>16,720</a:t>
          </a:fld>
          <a:endParaRPr lang="en-US" sz="1100" b="0" i="0" u="none" strike="noStrike">
            <a:solidFill>
              <a:schemeClr val="bg1"/>
            </a:solidFill>
            <a:latin typeface="+mn-lt"/>
            <a:ea typeface="+mn-ea"/>
            <a:cs typeface="+mn-cs"/>
          </a:endParaRPr>
        </a:p>
      </xdr:txBody>
    </xdr:sp>
    <xdr:clientData/>
  </xdr:oneCellAnchor>
  <xdr:twoCellAnchor>
    <xdr:from>
      <xdr:col>1</xdr:col>
      <xdr:colOff>228599</xdr:colOff>
      <xdr:row>22</xdr:row>
      <xdr:rowOff>9525</xdr:rowOff>
    </xdr:from>
    <xdr:to>
      <xdr:col>4</xdr:col>
      <xdr:colOff>28574</xdr:colOff>
      <xdr:row>26</xdr:row>
      <xdr:rowOff>161925</xdr:rowOff>
    </xdr:to>
    <xdr:sp macro="" textlink="'Dashboard Pivots'!D4">
      <xdr:nvSpPr>
        <xdr:cNvPr id="23" name="Rectangle 22">
          <a:extLst>
            <a:ext uri="{FF2B5EF4-FFF2-40B4-BE49-F238E27FC236}">
              <a16:creationId xmlns:a16="http://schemas.microsoft.com/office/drawing/2014/main" id="{F22DCFCF-EDBA-4B3F-8584-D3CFBDF0BE03}"/>
            </a:ext>
          </a:extLst>
        </xdr:cNvPr>
        <xdr:cNvSpPr/>
      </xdr:nvSpPr>
      <xdr:spPr>
        <a:xfrm>
          <a:off x="495299" y="4200525"/>
          <a:ext cx="1400175" cy="914400"/>
        </a:xfrm>
        <a:prstGeom prst="rect">
          <a:avLst/>
        </a:prstGeom>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6F9250-4600-433E-884D-F03DD892F718}" type="TxLink">
            <a:rPr lang="en-US" sz="2400" b="0" i="0" u="none" strike="noStrike">
              <a:solidFill>
                <a:schemeClr val="bg1"/>
              </a:solidFill>
              <a:latin typeface="+mj-lt"/>
              <a:ea typeface="+mn-ea"/>
              <a:cs typeface="+mn-cs"/>
            </a:rPr>
            <a:pPr marL="0" indent="0" algn="ctr"/>
            <a:t>3.90</a:t>
          </a:fld>
          <a:endParaRPr lang="en-US" sz="2400" b="0" i="0" u="none" strike="noStrike">
            <a:solidFill>
              <a:schemeClr val="bg1"/>
            </a:solidFill>
            <a:latin typeface="+mj-lt"/>
            <a:ea typeface="+mn-ea"/>
            <a:cs typeface="+mn-cs"/>
          </a:endParaRPr>
        </a:p>
      </xdr:txBody>
    </xdr:sp>
    <xdr:clientData/>
  </xdr:twoCellAnchor>
  <xdr:oneCellAnchor>
    <xdr:from>
      <xdr:col>2</xdr:col>
      <xdr:colOff>257175</xdr:colOff>
      <xdr:row>22</xdr:row>
      <xdr:rowOff>38100</xdr:rowOff>
    </xdr:from>
    <xdr:ext cx="923925" cy="264560"/>
    <xdr:sp macro="" textlink="">
      <xdr:nvSpPr>
        <xdr:cNvPr id="24" name="TextBox 23">
          <a:extLst>
            <a:ext uri="{FF2B5EF4-FFF2-40B4-BE49-F238E27FC236}">
              <a16:creationId xmlns:a16="http://schemas.microsoft.com/office/drawing/2014/main" id="{04A81B08-AAE3-4A35-A358-B23246080D15}"/>
            </a:ext>
          </a:extLst>
        </xdr:cNvPr>
        <xdr:cNvSpPr txBox="1"/>
      </xdr:nvSpPr>
      <xdr:spPr>
        <a:xfrm>
          <a:off x="752475" y="4229100"/>
          <a:ext cx="9239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0" i="0" u="none" strike="noStrike">
              <a:solidFill>
                <a:schemeClr val="bg1"/>
              </a:solidFill>
              <a:latin typeface="+mj-lt"/>
              <a:ea typeface="+mn-ea"/>
              <a:cs typeface="+mn-cs"/>
            </a:rPr>
            <a:t>Avg</a:t>
          </a:r>
          <a:r>
            <a:rPr lang="en-US" sz="1100" b="0" i="0" u="none" strike="noStrike" baseline="0">
              <a:solidFill>
                <a:schemeClr val="bg1"/>
              </a:solidFill>
              <a:latin typeface="+mj-lt"/>
              <a:ea typeface="+mn-ea"/>
              <a:cs typeface="+mn-cs"/>
            </a:rPr>
            <a:t> Rating</a:t>
          </a:r>
          <a:endParaRPr lang="en-US" sz="1400" b="0" i="0" u="none" strike="noStrike">
            <a:solidFill>
              <a:schemeClr val="bg1"/>
            </a:solidFill>
            <a:latin typeface="+mj-lt"/>
            <a:ea typeface="+mn-ea"/>
            <a:cs typeface="+mn-cs"/>
          </a:endParaRPr>
        </a:p>
      </xdr:txBody>
    </xdr:sp>
    <xdr:clientData/>
  </xdr:oneCellAnchor>
  <xdr:oneCellAnchor>
    <xdr:from>
      <xdr:col>2</xdr:col>
      <xdr:colOff>381000</xdr:colOff>
      <xdr:row>25</xdr:row>
      <xdr:rowOff>28575</xdr:rowOff>
    </xdr:from>
    <xdr:ext cx="628650" cy="264560"/>
    <xdr:sp macro="" textlink="'Dashboard Pivots'!D10">
      <xdr:nvSpPr>
        <xdr:cNvPr id="26" name="TextBox 25">
          <a:extLst>
            <a:ext uri="{FF2B5EF4-FFF2-40B4-BE49-F238E27FC236}">
              <a16:creationId xmlns:a16="http://schemas.microsoft.com/office/drawing/2014/main" id="{3CECA493-8501-410E-A1A9-C37CAD41274D}"/>
            </a:ext>
          </a:extLst>
        </xdr:cNvPr>
        <xdr:cNvSpPr txBox="1"/>
      </xdr:nvSpPr>
      <xdr:spPr>
        <a:xfrm>
          <a:off x="876300" y="4791075"/>
          <a:ext cx="628650" cy="264560"/>
        </a:xfrm>
        <a:prstGeom prst="rect">
          <a:avLst/>
        </a:prstGeom>
        <a:solidFill>
          <a:schemeClr val="accent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79899D27-5C81-458D-9608-C623747A08CE}" type="TxLink">
            <a:rPr lang="en-US" sz="1100" b="0" i="0" u="none" strike="noStrike">
              <a:solidFill>
                <a:schemeClr val="bg1"/>
              </a:solidFill>
              <a:latin typeface="+mn-lt"/>
              <a:ea typeface="+mn-ea"/>
              <a:cs typeface="+mn-cs"/>
            </a:rPr>
            <a:pPr marL="0" indent="0" algn="ctr"/>
            <a:t>3.92</a:t>
          </a:fld>
          <a:endParaRPr lang="en-US" sz="1100" b="0" i="0" u="none" strike="noStrike">
            <a:solidFill>
              <a:schemeClr val="bg1"/>
            </a:solidFill>
            <a:latin typeface="+mn-lt"/>
            <a:ea typeface="+mn-ea"/>
            <a:cs typeface="+mn-cs"/>
          </a:endParaRPr>
        </a:p>
      </xdr:txBody>
    </xdr:sp>
    <xdr:clientData/>
  </xdr:oneCellAnchor>
  <xdr:twoCellAnchor>
    <xdr:from>
      <xdr:col>2</xdr:col>
      <xdr:colOff>0</xdr:colOff>
      <xdr:row>29</xdr:row>
      <xdr:rowOff>9525</xdr:rowOff>
    </xdr:from>
    <xdr:to>
      <xdr:col>4</xdr:col>
      <xdr:colOff>57150</xdr:colOff>
      <xdr:row>33</xdr:row>
      <xdr:rowOff>161925</xdr:rowOff>
    </xdr:to>
    <xdr:sp macro="" textlink="'Dashboard Pivots'!E4">
      <xdr:nvSpPr>
        <xdr:cNvPr id="27" name="Rectangle 26">
          <a:extLst>
            <a:ext uri="{FF2B5EF4-FFF2-40B4-BE49-F238E27FC236}">
              <a16:creationId xmlns:a16="http://schemas.microsoft.com/office/drawing/2014/main" id="{BBC47811-B703-495C-929E-E489EDF8ACEC}"/>
            </a:ext>
          </a:extLst>
        </xdr:cNvPr>
        <xdr:cNvSpPr/>
      </xdr:nvSpPr>
      <xdr:spPr>
        <a:xfrm>
          <a:off x="495300" y="5534025"/>
          <a:ext cx="1428750" cy="914400"/>
        </a:xfrm>
        <a:prstGeom prst="rect">
          <a:avLst/>
        </a:prstGeom>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EC96DA-D43C-4E0C-BF13-C0D453865E71}" type="TxLink">
            <a:rPr lang="en-US" sz="2400" b="0" i="0" u="none" strike="noStrike">
              <a:solidFill>
                <a:schemeClr val="bg1"/>
              </a:solidFill>
              <a:latin typeface="+mj-lt"/>
              <a:ea typeface="+mn-ea"/>
              <a:cs typeface="+mn-cs"/>
            </a:rPr>
            <a:pPr marL="0" indent="0" algn="ctr"/>
            <a:t>248</a:t>
          </a:fld>
          <a:endParaRPr lang="en-US" sz="2400" b="0" i="0" u="none" strike="noStrike">
            <a:solidFill>
              <a:schemeClr val="bg1"/>
            </a:solidFill>
            <a:latin typeface="+mj-lt"/>
            <a:ea typeface="+mn-ea"/>
            <a:cs typeface="+mn-cs"/>
          </a:endParaRPr>
        </a:p>
      </xdr:txBody>
    </xdr:sp>
    <xdr:clientData/>
  </xdr:twoCellAnchor>
  <xdr:oneCellAnchor>
    <xdr:from>
      <xdr:col>2</xdr:col>
      <xdr:colOff>152400</xdr:colOff>
      <xdr:row>29</xdr:row>
      <xdr:rowOff>66675</xdr:rowOff>
    </xdr:from>
    <xdr:ext cx="1323975" cy="264560"/>
    <xdr:sp macro="" textlink="">
      <xdr:nvSpPr>
        <xdr:cNvPr id="28" name="TextBox 27">
          <a:extLst>
            <a:ext uri="{FF2B5EF4-FFF2-40B4-BE49-F238E27FC236}">
              <a16:creationId xmlns:a16="http://schemas.microsoft.com/office/drawing/2014/main" id="{0E4242E7-3EF7-435E-87C3-777E8611DA06}"/>
            </a:ext>
          </a:extLst>
        </xdr:cNvPr>
        <xdr:cNvSpPr txBox="1"/>
      </xdr:nvSpPr>
      <xdr:spPr>
        <a:xfrm>
          <a:off x="647700" y="5591175"/>
          <a:ext cx="13239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i="0" u="none" strike="noStrike">
              <a:solidFill>
                <a:schemeClr val="bg1"/>
              </a:solidFill>
              <a:latin typeface="+mj-lt"/>
              <a:ea typeface="+mn-ea"/>
              <a:cs typeface="+mn-cs"/>
            </a:rPr>
            <a:t>Satisfied</a:t>
          </a:r>
          <a:r>
            <a:rPr lang="en-US" sz="1100" b="0" i="0" u="none" strike="noStrike" baseline="0">
              <a:solidFill>
                <a:schemeClr val="bg1"/>
              </a:solidFill>
              <a:latin typeface="+mj-lt"/>
              <a:ea typeface="+mn-ea"/>
              <a:cs typeface="+mn-cs"/>
            </a:rPr>
            <a:t> Callers</a:t>
          </a:r>
          <a:endParaRPr lang="en-US" sz="1200" b="0" i="0" u="none" strike="noStrike">
            <a:solidFill>
              <a:schemeClr val="bg1"/>
            </a:solidFill>
            <a:latin typeface="+mj-lt"/>
            <a:ea typeface="+mn-ea"/>
            <a:cs typeface="+mn-cs"/>
          </a:endParaRPr>
        </a:p>
      </xdr:txBody>
    </xdr:sp>
    <xdr:clientData/>
  </xdr:oneCellAnchor>
  <xdr:oneCellAnchor>
    <xdr:from>
      <xdr:col>2</xdr:col>
      <xdr:colOff>390525</xdr:colOff>
      <xdr:row>32</xdr:row>
      <xdr:rowOff>28575</xdr:rowOff>
    </xdr:from>
    <xdr:ext cx="628650" cy="264560"/>
    <xdr:sp macro="" textlink="'Dashboard Pivots'!E10">
      <xdr:nvSpPr>
        <xdr:cNvPr id="30" name="TextBox 29">
          <a:extLst>
            <a:ext uri="{FF2B5EF4-FFF2-40B4-BE49-F238E27FC236}">
              <a16:creationId xmlns:a16="http://schemas.microsoft.com/office/drawing/2014/main" id="{E1D93CFD-CAEF-4FE0-909B-E7CD0E6E80CC}"/>
            </a:ext>
          </a:extLst>
        </xdr:cNvPr>
        <xdr:cNvSpPr txBox="1"/>
      </xdr:nvSpPr>
      <xdr:spPr>
        <a:xfrm>
          <a:off x="885825" y="6124575"/>
          <a:ext cx="628650" cy="264560"/>
        </a:xfrm>
        <a:prstGeom prst="rect">
          <a:avLst/>
        </a:prstGeom>
        <a:solidFill>
          <a:schemeClr val="accent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3821A1A6-F9D9-4273-B10F-5043E81B9D7E}" type="TxLink">
            <a:rPr lang="en-US" sz="1100" b="0" i="0" u="none" strike="noStrike">
              <a:solidFill>
                <a:schemeClr val="bg1"/>
              </a:solidFill>
              <a:latin typeface="+mn-lt"/>
              <a:ea typeface="+mn-ea"/>
              <a:cs typeface="+mn-cs"/>
            </a:rPr>
            <a:pPr marL="0" indent="0" algn="ctr"/>
            <a:t>48</a:t>
          </a:fld>
          <a:endParaRPr lang="en-US" sz="1100" b="0" i="0" u="none" strike="noStrike">
            <a:solidFill>
              <a:schemeClr val="bg1"/>
            </a:solidFill>
            <a:latin typeface="+mn-lt"/>
            <a:ea typeface="+mn-ea"/>
            <a:cs typeface="+mn-cs"/>
          </a:endParaRPr>
        </a:p>
      </xdr:txBody>
    </xdr:sp>
    <xdr:clientData/>
  </xdr:oneCellAnchor>
  <xdr:twoCellAnchor editAs="oneCell">
    <xdr:from>
      <xdr:col>2</xdr:col>
      <xdr:colOff>57151</xdr:colOff>
      <xdr:row>9</xdr:row>
      <xdr:rowOff>57151</xdr:rowOff>
    </xdr:from>
    <xdr:to>
      <xdr:col>2</xdr:col>
      <xdr:colOff>257175</xdr:colOff>
      <xdr:row>10</xdr:row>
      <xdr:rowOff>66675</xdr:rowOff>
    </xdr:to>
    <xdr:pic>
      <xdr:nvPicPr>
        <xdr:cNvPr id="31" name="Graphic 30" descr="Shopping cart with solid fill">
          <a:extLst>
            <a:ext uri="{FF2B5EF4-FFF2-40B4-BE49-F238E27FC236}">
              <a16:creationId xmlns:a16="http://schemas.microsoft.com/office/drawing/2014/main" id="{228A5E9F-043B-43BD-A545-65E59852993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2451" y="1771651"/>
          <a:ext cx="200024" cy="200024"/>
        </a:xfrm>
        <a:prstGeom prst="rect">
          <a:avLst/>
        </a:prstGeom>
      </xdr:spPr>
    </xdr:pic>
    <xdr:clientData/>
  </xdr:twoCellAnchor>
  <xdr:twoCellAnchor editAs="oneCell">
    <xdr:from>
      <xdr:col>2</xdr:col>
      <xdr:colOff>9526</xdr:colOff>
      <xdr:row>15</xdr:row>
      <xdr:rowOff>171451</xdr:rowOff>
    </xdr:from>
    <xdr:to>
      <xdr:col>2</xdr:col>
      <xdr:colOff>257175</xdr:colOff>
      <xdr:row>17</xdr:row>
      <xdr:rowOff>38100</xdr:rowOff>
    </xdr:to>
    <xdr:pic>
      <xdr:nvPicPr>
        <xdr:cNvPr id="32" name="Graphic 31" descr="Stopwatch with solid fill">
          <a:extLst>
            <a:ext uri="{FF2B5EF4-FFF2-40B4-BE49-F238E27FC236}">
              <a16:creationId xmlns:a16="http://schemas.microsoft.com/office/drawing/2014/main" id="{76C4DFB6-508A-4551-8DD1-6CF820ABDF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4826" y="3028951"/>
          <a:ext cx="247649" cy="247649"/>
        </a:xfrm>
        <a:prstGeom prst="rect">
          <a:avLst/>
        </a:prstGeom>
      </xdr:spPr>
    </xdr:pic>
    <xdr:clientData/>
  </xdr:twoCellAnchor>
  <xdr:twoCellAnchor editAs="oneCell">
    <xdr:from>
      <xdr:col>2</xdr:col>
      <xdr:colOff>28575</xdr:colOff>
      <xdr:row>22</xdr:row>
      <xdr:rowOff>47625</xdr:rowOff>
    </xdr:from>
    <xdr:to>
      <xdr:col>2</xdr:col>
      <xdr:colOff>266700</xdr:colOff>
      <xdr:row>23</xdr:row>
      <xdr:rowOff>95250</xdr:rowOff>
    </xdr:to>
    <xdr:pic>
      <xdr:nvPicPr>
        <xdr:cNvPr id="33" name="Graphic 32" descr="Star with solid fill">
          <a:extLst>
            <a:ext uri="{FF2B5EF4-FFF2-40B4-BE49-F238E27FC236}">
              <a16:creationId xmlns:a16="http://schemas.microsoft.com/office/drawing/2014/main" id="{6A4E83A9-1C15-4B2F-969D-D9D2155BE16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3875" y="4238625"/>
          <a:ext cx="238125" cy="238125"/>
        </a:xfrm>
        <a:prstGeom prst="rect">
          <a:avLst/>
        </a:prstGeom>
      </xdr:spPr>
    </xdr:pic>
    <xdr:clientData/>
  </xdr:twoCellAnchor>
  <xdr:twoCellAnchor editAs="oneCell">
    <xdr:from>
      <xdr:col>2</xdr:col>
      <xdr:colOff>47625</xdr:colOff>
      <xdr:row>29</xdr:row>
      <xdr:rowOff>66675</xdr:rowOff>
    </xdr:from>
    <xdr:to>
      <xdr:col>2</xdr:col>
      <xdr:colOff>228600</xdr:colOff>
      <xdr:row>30</xdr:row>
      <xdr:rowOff>57150</xdr:rowOff>
    </xdr:to>
    <xdr:pic>
      <xdr:nvPicPr>
        <xdr:cNvPr id="34" name="Graphic 33" descr="Smiling with hearts face outline with solid fill">
          <a:extLst>
            <a:ext uri="{FF2B5EF4-FFF2-40B4-BE49-F238E27FC236}">
              <a16:creationId xmlns:a16="http://schemas.microsoft.com/office/drawing/2014/main" id="{EB963964-1051-439C-8677-CA4D6D52248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2925" y="5591175"/>
          <a:ext cx="180975" cy="180975"/>
        </a:xfrm>
        <a:prstGeom prst="rect">
          <a:avLst/>
        </a:prstGeom>
      </xdr:spPr>
    </xdr:pic>
    <xdr:clientData/>
  </xdr:twoCellAnchor>
  <xdr:twoCellAnchor>
    <xdr:from>
      <xdr:col>10</xdr:col>
      <xdr:colOff>390526</xdr:colOff>
      <xdr:row>3</xdr:row>
      <xdr:rowOff>38100</xdr:rowOff>
    </xdr:from>
    <xdr:to>
      <xdr:col>13</xdr:col>
      <xdr:colOff>219075</xdr:colOff>
      <xdr:row>12</xdr:row>
      <xdr:rowOff>114300</xdr:rowOff>
    </xdr:to>
    <xdr:graphicFrame macro="">
      <xdr:nvGraphicFramePr>
        <xdr:cNvPr id="37" name="Chart 36">
          <a:extLst>
            <a:ext uri="{FF2B5EF4-FFF2-40B4-BE49-F238E27FC236}">
              <a16:creationId xmlns:a16="http://schemas.microsoft.com/office/drawing/2014/main" id="{66D1ADD0-5A07-46FE-9170-D0344B244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504825</xdr:colOff>
      <xdr:row>2</xdr:row>
      <xdr:rowOff>95250</xdr:rowOff>
    </xdr:from>
    <xdr:to>
      <xdr:col>10</xdr:col>
      <xdr:colOff>514350</xdr:colOff>
      <xdr:row>13</xdr:row>
      <xdr:rowOff>133350</xdr:rowOff>
    </xdr:to>
    <xdr:graphicFrame macro="">
      <xdr:nvGraphicFramePr>
        <xdr:cNvPr id="36" name="Chart 35">
          <a:extLst>
            <a:ext uri="{FF2B5EF4-FFF2-40B4-BE49-F238E27FC236}">
              <a16:creationId xmlns:a16="http://schemas.microsoft.com/office/drawing/2014/main" id="{38065CEB-DBFA-4DBA-A4C0-4EE78AD5C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14287</xdr:colOff>
      <xdr:row>16</xdr:row>
      <xdr:rowOff>180975</xdr:rowOff>
    </xdr:from>
    <xdr:to>
      <xdr:col>12</xdr:col>
      <xdr:colOff>628650</xdr:colOff>
      <xdr:row>33</xdr:row>
      <xdr:rowOff>123824</xdr:rowOff>
    </xdr:to>
    <xdr:graphicFrame macro="">
      <xdr:nvGraphicFramePr>
        <xdr:cNvPr id="38" name="Chart 37">
          <a:extLst>
            <a:ext uri="{FF2B5EF4-FFF2-40B4-BE49-F238E27FC236}">
              <a16:creationId xmlns:a16="http://schemas.microsoft.com/office/drawing/2014/main" id="{7F8760AC-F918-4399-B205-6C72D9031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533400</xdr:colOff>
      <xdr:row>16</xdr:row>
      <xdr:rowOff>95250</xdr:rowOff>
    </xdr:from>
    <xdr:to>
      <xdr:col>9</xdr:col>
      <xdr:colOff>71438</xdr:colOff>
      <xdr:row>33</xdr:row>
      <xdr:rowOff>152400</xdr:rowOff>
    </xdr:to>
    <xdr:graphicFrame macro="">
      <xdr:nvGraphicFramePr>
        <xdr:cNvPr id="39" name="Chart 38">
          <a:extLst>
            <a:ext uri="{FF2B5EF4-FFF2-40B4-BE49-F238E27FC236}">
              <a16:creationId xmlns:a16="http://schemas.microsoft.com/office/drawing/2014/main" id="{F401CDCD-A76C-412F-B9EF-44D513C34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676275</xdr:colOff>
      <xdr:row>2</xdr:row>
      <xdr:rowOff>19049</xdr:rowOff>
    </xdr:from>
    <xdr:to>
      <xdr:col>18</xdr:col>
      <xdr:colOff>47625</xdr:colOff>
      <xdr:row>14</xdr:row>
      <xdr:rowOff>152400</xdr:rowOff>
    </xdr:to>
    <xdr:graphicFrame macro="">
      <xdr:nvGraphicFramePr>
        <xdr:cNvPr id="5" name="Chart 4">
          <a:extLst>
            <a:ext uri="{FF2B5EF4-FFF2-40B4-BE49-F238E27FC236}">
              <a16:creationId xmlns:a16="http://schemas.microsoft.com/office/drawing/2014/main" id="{E1BDED16-1F6D-4485-93A1-13BAA6DE4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247649</xdr:colOff>
      <xdr:row>2</xdr:row>
      <xdr:rowOff>19051</xdr:rowOff>
    </xdr:from>
    <xdr:to>
      <xdr:col>22</xdr:col>
      <xdr:colOff>9524</xdr:colOff>
      <xdr:row>14</xdr:row>
      <xdr:rowOff>142875</xdr:rowOff>
    </xdr:to>
    <xdr:graphicFrame macro="">
      <xdr:nvGraphicFramePr>
        <xdr:cNvPr id="7" name="Chart 6">
          <a:extLst>
            <a:ext uri="{FF2B5EF4-FFF2-40B4-BE49-F238E27FC236}">
              <a16:creationId xmlns:a16="http://schemas.microsoft.com/office/drawing/2014/main" id="{C95CF838-C6B6-405D-BF1B-26507DC75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542925</xdr:colOff>
      <xdr:row>1</xdr:row>
      <xdr:rowOff>66675</xdr:rowOff>
    </xdr:from>
    <xdr:to>
      <xdr:col>1</xdr:col>
      <xdr:colOff>638175</xdr:colOff>
      <xdr:row>5</xdr:row>
      <xdr:rowOff>76200</xdr:rowOff>
    </xdr:to>
    <xdr:pic>
      <xdr:nvPicPr>
        <xdr:cNvPr id="3" name="Graphic 2" descr="Speaker phone with solid fill">
          <a:extLst>
            <a:ext uri="{FF2B5EF4-FFF2-40B4-BE49-F238E27FC236}">
              <a16:creationId xmlns:a16="http://schemas.microsoft.com/office/drawing/2014/main" id="{A7FB3E3A-09BA-2FF0-D02C-4BFACB1BD8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257175"/>
          <a:ext cx="781050" cy="771525"/>
        </a:xfrm>
        <a:prstGeom prst="rect">
          <a:avLst/>
        </a:prstGeom>
      </xdr:spPr>
    </xdr:pic>
    <xdr:clientData/>
  </xdr:twoCellAnchor>
  <xdr:twoCellAnchor editAs="oneCell">
    <xdr:from>
      <xdr:col>0</xdr:col>
      <xdr:colOff>619126</xdr:colOff>
      <xdr:row>6</xdr:row>
      <xdr:rowOff>142876</xdr:rowOff>
    </xdr:from>
    <xdr:to>
      <xdr:col>1</xdr:col>
      <xdr:colOff>638176</xdr:colOff>
      <xdr:row>10</xdr:row>
      <xdr:rowOff>85726</xdr:rowOff>
    </xdr:to>
    <xdr:pic>
      <xdr:nvPicPr>
        <xdr:cNvPr id="5" name="Graphic 4" descr="Shopping cart with solid fill">
          <a:extLst>
            <a:ext uri="{FF2B5EF4-FFF2-40B4-BE49-F238E27FC236}">
              <a16:creationId xmlns:a16="http://schemas.microsoft.com/office/drawing/2014/main" id="{680D46D4-7298-D1C8-2039-0A0720B7D3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9126" y="1285876"/>
          <a:ext cx="704850" cy="704850"/>
        </a:xfrm>
        <a:prstGeom prst="rect">
          <a:avLst/>
        </a:prstGeom>
      </xdr:spPr>
    </xdr:pic>
    <xdr:clientData/>
  </xdr:twoCellAnchor>
  <xdr:twoCellAnchor editAs="oneCell">
    <xdr:from>
      <xdr:col>0</xdr:col>
      <xdr:colOff>609600</xdr:colOff>
      <xdr:row>11</xdr:row>
      <xdr:rowOff>66675</xdr:rowOff>
    </xdr:from>
    <xdr:to>
      <xdr:col>1</xdr:col>
      <xdr:colOff>638175</xdr:colOff>
      <xdr:row>15</xdr:row>
      <xdr:rowOff>19050</xdr:rowOff>
    </xdr:to>
    <xdr:pic>
      <xdr:nvPicPr>
        <xdr:cNvPr id="7" name="Graphic 6" descr="Stopwatch with solid fill">
          <a:extLst>
            <a:ext uri="{FF2B5EF4-FFF2-40B4-BE49-F238E27FC236}">
              <a16:creationId xmlns:a16="http://schemas.microsoft.com/office/drawing/2014/main" id="{9872D701-53A0-4F66-4CF1-612A6D08716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2162175"/>
          <a:ext cx="714375" cy="714375"/>
        </a:xfrm>
        <a:prstGeom prst="rect">
          <a:avLst/>
        </a:prstGeom>
      </xdr:spPr>
    </xdr:pic>
    <xdr:clientData/>
  </xdr:twoCellAnchor>
  <xdr:twoCellAnchor editAs="oneCell">
    <xdr:from>
      <xdr:col>0</xdr:col>
      <xdr:colOff>647700</xdr:colOff>
      <xdr:row>16</xdr:row>
      <xdr:rowOff>57150</xdr:rowOff>
    </xdr:from>
    <xdr:to>
      <xdr:col>1</xdr:col>
      <xdr:colOff>619125</xdr:colOff>
      <xdr:row>19</xdr:row>
      <xdr:rowOff>142875</xdr:rowOff>
    </xdr:to>
    <xdr:pic>
      <xdr:nvPicPr>
        <xdr:cNvPr id="9" name="Graphic 8" descr="Star with solid fill">
          <a:extLst>
            <a:ext uri="{FF2B5EF4-FFF2-40B4-BE49-F238E27FC236}">
              <a16:creationId xmlns:a16="http://schemas.microsoft.com/office/drawing/2014/main" id="{897CDB42-D814-19CC-5194-297DA00426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7700" y="3105150"/>
          <a:ext cx="657225" cy="657225"/>
        </a:xfrm>
        <a:prstGeom prst="rect">
          <a:avLst/>
        </a:prstGeom>
      </xdr:spPr>
    </xdr:pic>
    <xdr:clientData/>
  </xdr:twoCellAnchor>
  <xdr:twoCellAnchor editAs="oneCell">
    <xdr:from>
      <xdr:col>0</xdr:col>
      <xdr:colOff>638174</xdr:colOff>
      <xdr:row>20</xdr:row>
      <xdr:rowOff>142874</xdr:rowOff>
    </xdr:from>
    <xdr:to>
      <xdr:col>1</xdr:col>
      <xdr:colOff>619125</xdr:colOff>
      <xdr:row>24</xdr:row>
      <xdr:rowOff>47625</xdr:rowOff>
    </xdr:to>
    <xdr:pic>
      <xdr:nvPicPr>
        <xdr:cNvPr id="11" name="Graphic 10" descr="Smiling with hearts face outline with solid fill">
          <a:extLst>
            <a:ext uri="{FF2B5EF4-FFF2-40B4-BE49-F238E27FC236}">
              <a16:creationId xmlns:a16="http://schemas.microsoft.com/office/drawing/2014/main" id="{F1DA57E1-C9BB-A285-BACD-E7BA123DA0B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8174" y="3952874"/>
          <a:ext cx="666751" cy="666751"/>
        </a:xfrm>
        <a:prstGeom prst="rect">
          <a:avLst/>
        </a:prstGeom>
      </xdr:spPr>
    </xdr:pic>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33333335" backgroundQuery="1" createdVersion="8" refreshedVersion="8" minRefreshableVersion="3" recordCount="0" supportSubquery="1" supportAdvancedDrill="1" xr:uid="{D0F9B753-DF94-4BAB-ADE1-EDBB85AE7C9A}">
  <cacheSource type="external" connectionId="3"/>
  <cacheFields count="4">
    <cacheField name="[calls_2].[Representative].[Representative]" caption="Representative" numFmtId="0" hierarchy="3" level="1">
      <sharedItems count="5">
        <s v="R01"/>
        <s v="R02"/>
        <s v="R03"/>
        <s v="R04"/>
        <s v="R05"/>
      </sharedItems>
    </cacheField>
    <cacheField name="[Table4].[City].[City]" caption="City" numFmtId="0" hierarchy="19" level="1">
      <sharedItems count="3">
        <s v="Cincinnati"/>
        <s v="Cleveland"/>
        <s v="Columbus"/>
      </sharedItems>
    </cacheField>
    <cacheField name="[Table4].[Customer ID].[Customer ID]" caption="Customer ID" numFmtId="0" hierarchy="16" level="1">
      <sharedItems count="15">
        <s v="C0003"/>
        <s v="C0004"/>
        <s v="C0011"/>
        <s v="C0012"/>
        <s v="C0002"/>
        <s v="C0007"/>
        <s v="C0008"/>
        <s v="C0010"/>
        <s v="C0013"/>
        <s v="C0015"/>
        <s v="C0001"/>
        <s v="C0005"/>
        <s v="C0006"/>
        <s v="C0009"/>
        <s v="C0014"/>
      </sharedItems>
    </cacheField>
    <cacheField name="[Measures].[Total Amount]" caption="Total Amount" numFmtId="0" hierarchy="23" level="32767"/>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0"/>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2" memberValueDatatype="130" unbalanced="0">
      <fieldsUsage count="2">
        <fieldUsage x="-1"/>
        <fieldUsage x="2"/>
      </fieldsUsage>
    </cacheHierarchy>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2" memberValueDatatype="130" unbalanced="0">
      <fieldsUsage count="2">
        <fieldUsage x="-1"/>
        <fieldUsage x="1"/>
      </fieldsUsage>
    </cacheHierarchy>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cacheHierarchy uniqueName="[Measures].[Total Amount]" caption="Total Amount" measure="1" displayFolder="" measureGroup="calls_2" count="0" oneField="1">
      <fieldsUsage count="1">
        <fieldUsage x="3"/>
      </fieldsUsage>
    </cacheHierarchy>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34374997" backgroundQuery="1" createdVersion="8" refreshedVersion="8" minRefreshableVersion="3" recordCount="0" supportSubquery="1" supportAdvancedDrill="1" xr:uid="{22F7420E-3980-438F-A1AB-02BAEC5467E7}">
  <cacheSource type="external" connectionId="3"/>
  <cacheFields count="3">
    <cacheField name="[Measures].[Call Count]" caption="Call Count" numFmtId="0" hierarchy="22" level="32767"/>
    <cacheField name="[Table4].[Gedner].[Gedner]" caption="Gedner" numFmtId="0" hierarchy="17" level="1">
      <sharedItems count="2">
        <s v="Female"/>
        <s v="Male"/>
      </sharedItems>
    </cacheField>
    <cacheField name="[Table4].[City].[City]" caption="City" numFmtId="0" hierarchy="19" level="1">
      <sharedItems count="3">
        <s v="Cincinnati"/>
        <s v="Cleveland"/>
        <s v="Columbus"/>
      </sharedItems>
    </cacheField>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0" memberValueDatatype="130" unbalanced="0"/>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2" memberValueDatatype="130" unbalanced="0">
      <fieldsUsage count="2">
        <fieldUsage x="-1"/>
        <fieldUsage x="1"/>
      </fieldsUsage>
    </cacheHierarchy>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2" memberValueDatatype="130" unbalanced="0">
      <fieldsUsage count="2">
        <fieldUsage x="-1"/>
        <fieldUsage x="2"/>
      </fieldsUsage>
    </cacheHierarchy>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0"/>
      </fieldsUsage>
    </cacheHierarchy>
    <cacheHierarchy uniqueName="[Measures].[Total Amount]" caption="Total Amount" measure="1" displayFolder="" measureGroup="calls_2" count="0"/>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35300928" backgroundQuery="1" createdVersion="8" refreshedVersion="8" minRefreshableVersion="3" recordCount="0" supportSubquery="1" supportAdvancedDrill="1" xr:uid="{51C4D650-80F8-4D11-8B45-2B072DB436E2}">
  <cacheSource type="external" connectionId="3"/>
  <cacheFields count="3">
    <cacheField name="[calls_2].[Representative].[Representative]" caption="Representative" numFmtId="0" hierarchy="3" level="1">
      <sharedItems count="5">
        <s v="R01"/>
        <s v="R02"/>
        <s v="R03"/>
        <s v="R04"/>
        <s v="R05"/>
      </sharedItems>
    </cacheField>
    <cacheField name="[Measures].[Call Count]" caption="Call Count" numFmtId="0" hierarchy="22" level="32767"/>
    <cacheField name="[Measures].[Total Amount]" caption="Total Amount" numFmtId="0" hierarchy="23" level="32767"/>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0"/>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1"/>
      </fieldsUsage>
    </cacheHierarchy>
    <cacheHierarchy uniqueName="[Measures].[Total Amount]" caption="Total Amount" measure="1" displayFolder="" measureGroup="calls_2" count="0" oneField="1">
      <fieldsUsage count="1">
        <fieldUsage x="2"/>
      </fieldsUsage>
    </cacheHierarchy>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36111114" backgroundQuery="1" createdVersion="8" refreshedVersion="8" minRefreshableVersion="3" recordCount="0" supportSubquery="1" supportAdvancedDrill="1" xr:uid="{858E8070-1787-4F2B-8D09-AC7FDEFDBB16}">
  <cacheSource type="external" connectionId="3"/>
  <cacheFields count="5">
    <cacheField name="[Measures].[Call Count]" caption="Call Count" numFmtId="0" hierarchy="22" level="32767"/>
    <cacheField name="[Measures].[Total Amount]" caption="Total Amount" numFmtId="0" hierarchy="23" level="32767"/>
    <cacheField name="[Measures].[Total Duration]" caption="Total Duration" numFmtId="0" hierarchy="24" level="32767"/>
    <cacheField name="[Measures].[Average Rating]" caption="Average Rating" numFmtId="0" hierarchy="25" level="32767"/>
    <cacheField name="[Measures].[5 Star Calls]" caption="5 Star Calls" numFmtId="0" hierarchy="26" level="32767"/>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0" memberValueDatatype="130" unbalanced="0"/>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0"/>
      </fieldsUsage>
    </cacheHierarchy>
    <cacheHierarchy uniqueName="[Measures].[Total Amount]" caption="Total Amount" measure="1" displayFolder="" measureGroup="calls_2" count="0" oneField="1">
      <fieldsUsage count="1">
        <fieldUsage x="1"/>
      </fieldsUsage>
    </cacheHierarchy>
    <cacheHierarchy uniqueName="[Measures].[Total Duration]" caption="Total Duration" measure="1" displayFolder="" measureGroup="calls_2" count="0" oneField="1">
      <fieldsUsage count="1">
        <fieldUsage x="2"/>
      </fieldsUsage>
    </cacheHierarchy>
    <cacheHierarchy uniqueName="[Measures].[Average Rating]" caption="Average Rating" measure="1" displayFolder="" measureGroup="calls_2" count="0" oneField="1">
      <fieldsUsage count="1">
        <fieldUsage x="3"/>
      </fieldsUsage>
    </cacheHierarchy>
    <cacheHierarchy uniqueName="[Measures].[5 Star Calls]" caption="5 Star Calls" measure="1" displayFolder="" measureGroup="calls_2" count="0" oneField="1">
      <fieldsUsage count="1">
        <fieldUsage x="4"/>
      </fieldsUsage>
    </cacheHierarchy>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34.653937037037" createdVersion="8" refreshedVersion="8" minRefreshableVersion="3" recordCount="995" xr:uid="{8FE0C960-A2EF-4BDE-AB9F-08627EEDA66B}">
  <cacheSource type="worksheet">
    <worksheetSource name="calls_2"/>
  </cacheSource>
  <cacheFields count="17">
    <cacheField name="Call_Number" numFmtId="0">
      <sharedItems/>
    </cacheField>
    <cacheField name="Customer_ID" numFmtId="0">
      <sharedItems count="15">
        <s v="C0003"/>
        <s v="C0004"/>
        <s v="C0005"/>
        <s v="C0014"/>
        <s v="C0011"/>
        <s v="C0007"/>
        <s v="C0010"/>
        <s v="C0013"/>
        <s v="C0002"/>
        <s v="C0009"/>
        <s v="C0006"/>
        <s v="C0015"/>
        <s v="C0012"/>
        <s v="C0001"/>
        <s v="C0008"/>
      </sharedItems>
    </cacheField>
    <cacheField name="Call_Duration" numFmtId="0">
      <sharedItems containsSemiMixedTypes="0" containsString="0" containsNumber="1" containsInteger="1" minValue="2" maxValue="176"/>
    </cacheField>
    <cacheField name="Representative" numFmtId="0">
      <sharedItems count="5">
        <s v="R05"/>
        <s v="R02"/>
        <s v="R01"/>
        <s v="R04"/>
        <s v="R03"/>
      </sharedItems>
    </cacheField>
    <cacheField name="Purchase_Amount" numFmtId="0">
      <sharedItems containsSemiMixedTypes="0" containsString="0" containsNumber="1" containsInteger="1" minValue="20" maxValue="225"/>
    </cacheField>
    <cacheField name="Satisfaction_Rating" numFmtId="0">
      <sharedItems containsSemiMixedTypes="0" containsString="0" containsNumber="1" minValue="1" maxValue="5"/>
    </cacheField>
    <cacheField name="Call_Date" numFmtId="1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6"/>
    </cacheField>
    <cacheField name="Year" numFmtId="0">
      <sharedItems containsSemiMixedTypes="0" containsString="0" containsNumber="1" containsInteger="1" minValue="2023" maxValue="2023"/>
    </cacheField>
    <cacheField name="Quarter" numFmtId="0">
      <sharedItems containsSemiMixedTypes="0" containsString="0" containsNumber="1" containsInteger="1" minValue="1" maxValue="4"/>
    </cacheField>
    <cacheField name="Month_Number" numFmtId="0">
      <sharedItems containsSemiMixedTypes="0" containsString="0" containsNumber="1" containsInteger="1" minValue="1" maxValue="12"/>
    </cacheField>
    <cacheField name="Month_Name" numFmtId="0">
      <sharedItems count="12">
        <s v="January"/>
        <s v="February"/>
        <s v="March"/>
        <s v="April"/>
        <s v="May"/>
        <s v="June"/>
        <s v="July"/>
        <s v="August"/>
        <s v="September"/>
        <s v="October"/>
        <s v="November"/>
        <s v="December"/>
      </sharedItems>
    </cacheField>
    <cacheField name="Weekday" numFmtId="0">
      <sharedItems count="7">
        <s v="Sunday"/>
        <s v="Monday"/>
        <s v="Tuesday"/>
        <s v="Wednesday"/>
        <s v="Thursday"/>
        <s v="Friday"/>
        <s v="Saturday"/>
      </sharedItems>
    </cacheField>
    <cacheField name="FY" numFmtId="0">
      <sharedItems containsSemiMixedTypes="0" containsString="0" containsNumber="1" containsInteger="1" minValue="2023" maxValue="2024" count="2">
        <n v="2023"/>
        <n v="2024"/>
      </sharedItems>
    </cacheField>
    <cacheField name="Duration_Bucket" numFmtId="0">
      <sharedItems count="5">
        <s v="1 to 2 hours"/>
        <s v="More than 2 hours"/>
        <s v="30 to 60 mins"/>
        <s v="10 to 30 mins"/>
        <s v="Under 10 mins"/>
      </sharedItems>
    </cacheField>
    <cacheField name="Rating_Rounded" numFmtId="0">
      <sharedItems containsSemiMixedTypes="0" containsString="0" containsNumber="1" containsInteger="1" minValue="1" maxValue="5" count="5">
        <n v="5"/>
        <n v="3"/>
        <n v="4"/>
        <n v="2"/>
        <n v="1"/>
      </sharedItems>
    </cacheField>
    <cacheField name="Days (Call_Date)" numFmtId="0" databaseField="0">
      <fieldGroup base="6">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Call_Date)" numFmtId="0" databaseField="0">
      <fieldGroup base="6">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213876598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91550927" backgroundQuery="1" createdVersion="8" refreshedVersion="8" minRefreshableVersion="3" recordCount="0" supportSubquery="1" supportAdvancedDrill="1" xr:uid="{141DE659-BD96-47DD-AF8F-D23D06BD15D5}">
  <cacheSource type="external" connectionId="3"/>
  <cacheFields count="6">
    <cacheField name="[Measures].[Call Count]" caption="Call Count" numFmtId="0" hierarchy="22" level="32767"/>
    <cacheField name="[Measures].[Total Amount]" caption="Total Amount" numFmtId="0" hierarchy="23" level="32767"/>
    <cacheField name="[Measures].[Total Duration]" caption="Total Duration" numFmtId="0" hierarchy="24" level="32767"/>
    <cacheField name="[Measures].[Average Rating]" caption="Average Rating" numFmtId="0" hierarchy="25" level="32767"/>
    <cacheField name="[Measures].[5 Star Calls]" caption="5 Star Calls" numFmtId="0" hierarchy="26" level="32767"/>
    <cacheField name="[calls_2].[Representative].[Representative]" caption="Representative" numFmtId="0" hierarchy="3" level="1">
      <sharedItems containsSemiMixedTypes="0" containsNonDate="0" containsString="0"/>
    </cacheField>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5"/>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0"/>
      </fieldsUsage>
    </cacheHierarchy>
    <cacheHierarchy uniqueName="[Measures].[Total Amount]" caption="Total Amount" measure="1" displayFolder="" measureGroup="calls_2" count="0" oneField="1">
      <fieldsUsage count="1">
        <fieldUsage x="1"/>
      </fieldsUsage>
    </cacheHierarchy>
    <cacheHierarchy uniqueName="[Measures].[Total Duration]" caption="Total Duration" measure="1" displayFolder="" measureGroup="calls_2" count="0" oneField="1">
      <fieldsUsage count="1">
        <fieldUsage x="2"/>
      </fieldsUsage>
    </cacheHierarchy>
    <cacheHierarchy uniqueName="[Measures].[Average Rating]" caption="Average Rating" measure="1" displayFolder="" measureGroup="calls_2" count="0" oneField="1">
      <fieldsUsage count="1">
        <fieldUsage x="3"/>
      </fieldsUsage>
    </cacheHierarchy>
    <cacheHierarchy uniqueName="[Measures].[5 Star Calls]" caption="5 Star Calls" measure="1" displayFolder="" measureGroup="calls_2" count="0" oneField="1">
      <fieldsUsage count="1">
        <fieldUsage x="4"/>
      </fieldsUsage>
    </cacheHierarchy>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91898151" backgroundQuery="1" createdVersion="8" refreshedVersion="8" minRefreshableVersion="3" recordCount="0" supportSubquery="1" supportAdvancedDrill="1" xr:uid="{4B8AE57F-34DC-4241-B0A4-DCE2357A6BA6}">
  <cacheSource type="external" connectionId="3"/>
  <cacheFields count="5">
    <cacheField name="[calls_2].[Call_Date].[Call_Date]" caption="Call_Date" numFmtId="0" hierarchy="6"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_2].[Call_Date (Month)].[Call_Date (Month)]" caption="Call_Date (Month)" numFmtId="0" hierarchy="15" level="1">
      <sharedItems count="12">
        <s v="Jan"/>
        <s v="Feb"/>
        <s v="Mar"/>
        <s v="Apr"/>
        <s v="May"/>
        <s v="Jun"/>
        <s v="Jul"/>
        <s v="Aug"/>
        <s v="Sep"/>
        <s v="Oct"/>
        <s v="Nov"/>
        <s v="Dec"/>
      </sharedItems>
    </cacheField>
    <cacheField name="[Measures].[Call Count]" caption="Call Count" numFmtId="0" hierarchy="22" level="32767"/>
    <cacheField name="[calls_2].[Representative].[Representative]" caption="Representative" numFmtId="0" hierarchy="3" level="1">
      <sharedItems containsSemiMixedTypes="0" containsNonDate="0" containsString="0"/>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3"/>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2" memberValueDatatype="7" unbalanced="0">
      <fieldsUsage count="2">
        <fieldUsage x="-1"/>
        <fieldUsage x="0"/>
      </fieldsUsage>
    </cacheHierarchy>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2" memberValueDatatype="130" unbalanced="0">
      <fieldsUsage count="2">
        <fieldUsage x="-1"/>
        <fieldUsage x="1"/>
      </fieldsUsage>
    </cacheHierarchy>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2"/>
      </fieldsUsage>
    </cacheHierarchy>
    <cacheHierarchy uniqueName="[Measures].[Total Amount]" caption="Total Amount" measure="1" displayFolder="" measureGroup="calls_2" count="0"/>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Unsupported0" caption="Call_Number" measure="1" count="0">
      <extLst>
        <ext xmlns:x14="http://schemas.microsoft.com/office/spreadsheetml/2009/9/main" uri="{8CF416AD-EC4C-4aba-99F5-12A058AE0983}">
          <x14:cacheHierarchy ignore="1"/>
        </ext>
      </extLst>
    </cacheHierarchy>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92245374" backgroundQuery="1" createdVersion="8" refreshedVersion="8" minRefreshableVersion="3" recordCount="0" supportSubquery="1" supportAdvancedDrill="1" xr:uid="{28AB94FA-8E69-450A-AF3F-B6DD0D177A1E}">
  <cacheSource type="external" connectionId="3"/>
  <cacheFields count="3">
    <cacheField name="[calls_2].[Weekday].[Weekday]" caption="Weekday" numFmtId="0" hierarchy="11" level="1">
      <sharedItems count="7">
        <s v="Friday"/>
        <s v="Monday"/>
        <s v="Saturday"/>
        <s v="Sunday"/>
        <s v="Thursday"/>
        <s v="Tuesday"/>
        <s v="Wednesday"/>
      </sharedItems>
    </cacheField>
    <cacheField name="[Measures].[Call Count]" caption="Call Count" numFmtId="0" hierarchy="22" level="32767"/>
    <cacheField name="[calls_2].[Representative].[Representative]" caption="Representative" numFmtId="0" hierarchy="3" level="1">
      <sharedItems containsSemiMixedTypes="0" containsNonDate="0" containsString="0"/>
    </cacheField>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2"/>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2" memberValueDatatype="130" unbalanced="0">
      <fieldsUsage count="2">
        <fieldUsage x="-1"/>
        <fieldUsage x="0"/>
      </fieldsUsage>
    </cacheHierarchy>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1"/>
      </fieldsUsage>
    </cacheHierarchy>
    <cacheHierarchy uniqueName="[Measures].[Total Amount]" caption="Total Amount" measure="1" displayFolder="" measureGroup="calls_2" count="0"/>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9259259" backgroundQuery="1" createdVersion="8" refreshedVersion="8" minRefreshableVersion="3" recordCount="0" supportSubquery="1" supportAdvancedDrill="1" xr:uid="{103D888C-CE6A-46E1-A5B7-8DE539BC1C72}">
  <cacheSource type="external" connectionId="3"/>
  <cacheFields count="1">
    <cacheField name="[calls_2].[Representative].[Representative]" caption="Representative" numFmtId="0" hierarchy="3" level="1">
      <sharedItems count="1">
        <s v="R01"/>
      </sharedItems>
    </cacheField>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0"/>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cacheHierarchy uniqueName="[Measures].[Total Amount]" caption="Total Amount" measure="1" displayFolder="" measureGroup="calls_2" count="0"/>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92939813" backgroundQuery="1" createdVersion="8" refreshedVersion="8" minRefreshableVersion="3" recordCount="0" supportSubquery="1" supportAdvancedDrill="1" xr:uid="{B9D48F1B-ECBE-434C-B145-3D4260F63DBC}">
  <cacheSource type="external" connectionId="3"/>
  <cacheFields count="3">
    <cacheField name="[Measures].[Call Count]" caption="Call Count" numFmtId="0" hierarchy="22" level="32767"/>
    <cacheField name="[calls_2].[Rating_Rounded].[Rating_Rounded]" caption="Rating_Rounded"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_2].[Rating_Rounded].&amp;[1]"/>
            <x15:cachedUniqueName index="1" name="[calls_2].[Rating_Rounded].&amp;[2]"/>
            <x15:cachedUniqueName index="2" name="[calls_2].[Rating_Rounded].&amp;[3]"/>
            <x15:cachedUniqueName index="3" name="[calls_2].[Rating_Rounded].&amp;[4]"/>
            <x15:cachedUniqueName index="4" name="[calls_2].[Rating_Rounded].&amp;[5]"/>
          </x15:cachedUniqueNames>
        </ext>
      </extLst>
    </cacheField>
    <cacheField name="[calls_2].[Representative].[Representative]" caption="Representative" numFmtId="0" hierarchy="3" level="1">
      <sharedItems containsSemiMixedTypes="0" containsNonDate="0" containsString="0"/>
    </cacheField>
  </cacheFields>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fieldsUsage count="2">
        <fieldUsage x="-1"/>
        <fieldUsage x="2"/>
      </fieldsUsage>
    </cacheHierarchy>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2" memberValueDatatype="20" unbalanced="0">
      <fieldsUsage count="2">
        <fieldUsage x="-1"/>
        <fieldUsage x="1"/>
      </fieldsUsage>
    </cacheHierarchy>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oneField="1">
      <fieldsUsage count="1">
        <fieldUsage x="0"/>
      </fieldsUsage>
    </cacheHierarchy>
    <cacheHierarchy uniqueName="[Measures].[Total Amount]" caption="Total Amount" measure="1" displayFolder="" measureGroup="calls_2" count="0"/>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3">
    <dimension name="calls_2" uniqueName="[calls_2]" caption="calls_2"/>
    <dimension measure="1" name="Measures" uniqueName="[Measures]" caption="Measures"/>
    <dimension name="Table4" uniqueName="[Table4]" caption="Table4"/>
  </dimensions>
  <measureGroups count="2">
    <measureGroup name="calls_2" caption="calls_2"/>
    <measureGroup name="Table4" caption="Table4"/>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34.653927199077" backgroundQuery="1" createdVersion="3" refreshedVersion="8" minRefreshableVersion="3" recordCount="0" supportSubquery="1" supportAdvancedDrill="1" xr:uid="{C251CCB7-B8E9-4B28-85D6-268AAD3C4425}">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ls_2].[Call_Number]" caption="Call_Number" attribute="1" defaultMemberUniqueName="[calls_2].[Call_Number].[All]" allUniqueName="[calls_2].[Call_Number].[All]" dimensionUniqueName="[calls_2]" displayFolder="" count="0" memberValueDatatype="130" unbalanced="0"/>
    <cacheHierarchy uniqueName="[calls_2].[Customer_ID]" caption="Customer_ID" attribute="1" defaultMemberUniqueName="[calls_2].[Customer_ID].[All]" allUniqueName="[calls_2].[Customer_ID].[All]" dimensionUniqueName="[calls_2]" displayFolder="" count="0" memberValueDatatype="130" unbalanced="0"/>
    <cacheHierarchy uniqueName="[calls_2].[Call_Duration]" caption="Call_Duration" attribute="1" defaultMemberUniqueName="[calls_2].[Call_Duration].[All]" allUniqueName="[calls_2].[Call_Duration].[All]" dimensionUniqueName="[calls_2]" displayFolder="" count="0" memberValueDatatype="20" unbalanced="0"/>
    <cacheHierarchy uniqueName="[calls_2].[Representative]" caption="Representative" attribute="1" defaultMemberUniqueName="[calls_2].[Representative].[All]" allUniqueName="[calls_2].[Representative].[All]" dimensionUniqueName="[calls_2]" displayFolder="" count="2" memberValueDatatype="130" unbalanced="0"/>
    <cacheHierarchy uniqueName="[calls_2].[Purchase_Amount]" caption="Purchase_Amount" attribute="1" defaultMemberUniqueName="[calls_2].[Purchase_Amount].[All]" allUniqueName="[calls_2].[Purchase_Amount].[All]" dimensionUniqueName="[calls_2]" displayFolder="" count="0" memberValueDatatype="20" unbalanced="0"/>
    <cacheHierarchy uniqueName="[calls_2].[Satisfaction_Rating]" caption="Satisfaction_Rating" attribute="1" defaultMemberUniqueName="[calls_2].[Satisfaction_Rating].[All]" allUniqueName="[calls_2].[Satisfaction_Rating].[All]" dimensionUniqueName="[calls_2]" displayFolder="" count="0" memberValueDatatype="5" unbalanced="0"/>
    <cacheHierarchy uniqueName="[calls_2].[Call_Date]" caption="Call_Date" attribute="1" time="1" defaultMemberUniqueName="[calls_2].[Call_Date].[All]" allUniqueName="[calls_2].[Call_Date].[All]" dimensionUniqueName="[calls_2]" displayFolder="" count="0" memberValueDatatype="7" unbalanced="0"/>
    <cacheHierarchy uniqueName="[calls_2].[Year]" caption="Year" attribute="1" defaultMemberUniqueName="[calls_2].[Year].[All]" allUniqueName="[calls_2].[Year].[All]" dimensionUniqueName="[calls_2]" displayFolder="" count="0" memberValueDatatype="20" unbalanced="0"/>
    <cacheHierarchy uniqueName="[calls_2].[Quarter]" caption="Quarter" attribute="1" defaultMemberUniqueName="[calls_2].[Quarter].[All]" allUniqueName="[calls_2].[Quarter].[All]" dimensionUniqueName="[calls_2]" displayFolder="" count="0" memberValueDatatype="20" unbalanced="0"/>
    <cacheHierarchy uniqueName="[calls_2].[Month_Number]" caption="Month_Number" attribute="1" defaultMemberUniqueName="[calls_2].[Month_Number].[All]" allUniqueName="[calls_2].[Month_Number].[All]" dimensionUniqueName="[calls_2]" displayFolder="" count="0" memberValueDatatype="20" unbalanced="0"/>
    <cacheHierarchy uniqueName="[calls_2].[Month_Name]" caption="Month_Name" attribute="1" defaultMemberUniqueName="[calls_2].[Month_Name].[All]" allUniqueName="[calls_2].[Month_Name].[All]" dimensionUniqueName="[calls_2]" displayFolder="" count="0" memberValueDatatype="130" unbalanced="0"/>
    <cacheHierarchy uniqueName="[calls_2].[Weekday]" caption="Weekday" attribute="1" defaultMemberUniqueName="[calls_2].[Weekday].[All]" allUniqueName="[calls_2].[Weekday].[All]" dimensionUniqueName="[calls_2]" displayFolder="" count="0" memberValueDatatype="130" unbalanced="0"/>
    <cacheHierarchy uniqueName="[calls_2].[FY]" caption="FY" attribute="1" defaultMemberUniqueName="[calls_2].[FY].[All]" allUniqueName="[calls_2].[FY].[All]" dimensionUniqueName="[calls_2]" displayFolder="" count="0" memberValueDatatype="20" unbalanced="0"/>
    <cacheHierarchy uniqueName="[calls_2].[Duration_Bucket]" caption="Duration_Bucket" attribute="1" defaultMemberUniqueName="[calls_2].[Duration_Bucket].[All]" allUniqueName="[calls_2].[Duration_Bucket].[All]" dimensionUniqueName="[calls_2]" displayFolder="" count="0" memberValueDatatype="130" unbalanced="0"/>
    <cacheHierarchy uniqueName="[calls_2].[Rating_Rounded]" caption="Rating_Rounded" attribute="1" defaultMemberUniqueName="[calls_2].[Rating_Rounded].[All]" allUniqueName="[calls_2].[Rating_Rounded].[All]" dimensionUniqueName="[calls_2]" displayFolder="" count="0" memberValueDatatype="20" unbalanced="0"/>
    <cacheHierarchy uniqueName="[calls_2].[Call_Date (Month)]" caption="Call_Date (Month)" attribute="1" defaultMemberUniqueName="[calls_2].[Call_Date (Month)].[All]" allUniqueName="[calls_2].[Call_Date (Month)].[All]" dimensionUniqueName="[calls_2]"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Gedner]" caption="Gedner" attribute="1" defaultMemberUniqueName="[Table4].[Gedner].[All]" allUniqueName="[Table4].[Gedn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calls_2].[Call_Date (Month Index)]" caption="Call_Date (Month Index)" attribute="1" defaultMemberUniqueName="[calls_2].[Call_Date (Month Index)].[All]" allUniqueName="[calls_2].[Call_Date (Month Index)].[All]" dimensionUniqueName="[calls_2]" displayFolder="" count="0" memberValueDatatype="20" unbalanced="0" hidden="1"/>
    <cacheHierarchy uniqueName="[Measures].[Sum of Purchase_Amount]" caption="Sum of Purchase_Amount" measure="1" displayFolder="" measureGroup="calls_2" count="0">
      <extLst>
        <ext xmlns:x15="http://schemas.microsoft.com/office/spreadsheetml/2010/11/main" uri="{B97F6D7D-B522-45F9-BDA1-12C45D357490}">
          <x15:cacheHierarchy aggregatedColumn="4"/>
        </ext>
      </extLst>
    </cacheHierarchy>
    <cacheHierarchy uniqueName="[Measures].[Call Count]" caption="Call Count" measure="1" displayFolder="" measureGroup="calls_2" count="0"/>
    <cacheHierarchy uniqueName="[Measures].[Total Amount]" caption="Total Amount" measure="1" displayFolder="" measureGroup="calls_2" count="0"/>
    <cacheHierarchy uniqueName="[Measures].[Total Duration]" caption="Total Duration" measure="1" displayFolder="" measureGroup="calls_2" count="0"/>
    <cacheHierarchy uniqueName="[Measures].[Average Rating]" caption="Average Rating" measure="1" displayFolder="" measureGroup="calls_2" count="0"/>
    <cacheHierarchy uniqueName="[Measures].[5 Star Calls]" caption="5 Star Calls" measure="1" displayFolder="" measureGroup="calls_2" count="0"/>
    <cacheHierarchy uniqueName="[Measures].[__XL_Count calls_2]" caption="__XL_Count calls_2" measure="1" displayFolder="" measureGroup="calls_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617730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5">
  <r>
    <s v="Call_7271"/>
    <x v="0"/>
    <n v="116"/>
    <x v="0"/>
    <n v="128"/>
    <n v="4.9000000000000004"/>
    <x v="0"/>
    <n v="2023"/>
    <n v="1"/>
    <n v="1"/>
    <x v="0"/>
    <x v="0"/>
    <x v="0"/>
    <x v="0"/>
    <x v="0"/>
  </r>
  <r>
    <s v="Call_7272"/>
    <x v="1"/>
    <n v="119"/>
    <x v="0"/>
    <n v="135"/>
    <n v="2.9"/>
    <x v="0"/>
    <n v="2023"/>
    <n v="1"/>
    <n v="1"/>
    <x v="0"/>
    <x v="0"/>
    <x v="0"/>
    <x v="0"/>
    <x v="1"/>
  </r>
  <r>
    <s v="Call_7273"/>
    <x v="2"/>
    <n v="68"/>
    <x v="1"/>
    <n v="66"/>
    <n v="4.7"/>
    <x v="0"/>
    <n v="2023"/>
    <n v="1"/>
    <n v="1"/>
    <x v="0"/>
    <x v="0"/>
    <x v="0"/>
    <x v="0"/>
    <x v="0"/>
  </r>
  <r>
    <s v="Call_7274"/>
    <x v="3"/>
    <n v="119"/>
    <x v="1"/>
    <n v="22"/>
    <n v="2.9"/>
    <x v="0"/>
    <n v="2023"/>
    <n v="1"/>
    <n v="1"/>
    <x v="0"/>
    <x v="0"/>
    <x v="0"/>
    <x v="0"/>
    <x v="1"/>
  </r>
  <r>
    <s v="Call_7275"/>
    <x v="4"/>
    <n v="128"/>
    <x v="2"/>
    <n v="31"/>
    <n v="2.8"/>
    <x v="1"/>
    <n v="2023"/>
    <n v="1"/>
    <n v="1"/>
    <x v="0"/>
    <x v="1"/>
    <x v="0"/>
    <x v="1"/>
    <x v="1"/>
  </r>
  <r>
    <s v="Call_7276"/>
    <x v="4"/>
    <n v="49"/>
    <x v="1"/>
    <n v="135"/>
    <n v="4.8"/>
    <x v="2"/>
    <n v="2023"/>
    <n v="1"/>
    <n v="1"/>
    <x v="0"/>
    <x v="2"/>
    <x v="0"/>
    <x v="2"/>
    <x v="0"/>
  </r>
  <r>
    <s v="Call_7277"/>
    <x v="5"/>
    <n v="84"/>
    <x v="0"/>
    <n v="60"/>
    <n v="4.7"/>
    <x v="2"/>
    <n v="2023"/>
    <n v="1"/>
    <n v="1"/>
    <x v="0"/>
    <x v="2"/>
    <x v="0"/>
    <x v="0"/>
    <x v="0"/>
  </r>
  <r>
    <s v="Call_7278"/>
    <x v="0"/>
    <n v="103"/>
    <x v="3"/>
    <n v="148"/>
    <n v="4.4000000000000004"/>
    <x v="2"/>
    <n v="2023"/>
    <n v="1"/>
    <n v="1"/>
    <x v="0"/>
    <x v="2"/>
    <x v="0"/>
    <x v="0"/>
    <x v="2"/>
  </r>
  <r>
    <s v="Call_7279"/>
    <x v="2"/>
    <n v="31"/>
    <x v="1"/>
    <n v="135"/>
    <n v="3.6"/>
    <x v="2"/>
    <n v="2023"/>
    <n v="1"/>
    <n v="1"/>
    <x v="0"/>
    <x v="2"/>
    <x v="0"/>
    <x v="2"/>
    <x v="2"/>
  </r>
  <r>
    <s v="Call_7280"/>
    <x v="6"/>
    <n v="44"/>
    <x v="4"/>
    <n v="105"/>
    <n v="2.9"/>
    <x v="2"/>
    <n v="2023"/>
    <n v="1"/>
    <n v="1"/>
    <x v="0"/>
    <x v="2"/>
    <x v="0"/>
    <x v="2"/>
    <x v="1"/>
  </r>
  <r>
    <s v="Call_7281"/>
    <x v="4"/>
    <n v="102"/>
    <x v="1"/>
    <n v="69"/>
    <n v="4.9000000000000004"/>
    <x v="2"/>
    <n v="2023"/>
    <n v="1"/>
    <n v="1"/>
    <x v="0"/>
    <x v="2"/>
    <x v="0"/>
    <x v="0"/>
    <x v="0"/>
  </r>
  <r>
    <s v="Call_7282"/>
    <x v="7"/>
    <n v="135"/>
    <x v="0"/>
    <n v="46"/>
    <n v="3.4"/>
    <x v="2"/>
    <n v="2023"/>
    <n v="1"/>
    <n v="1"/>
    <x v="0"/>
    <x v="2"/>
    <x v="0"/>
    <x v="1"/>
    <x v="1"/>
  </r>
  <r>
    <s v="Call_7283"/>
    <x v="8"/>
    <n v="98"/>
    <x v="1"/>
    <n v="108"/>
    <n v="3.5"/>
    <x v="3"/>
    <n v="2023"/>
    <n v="1"/>
    <n v="1"/>
    <x v="0"/>
    <x v="3"/>
    <x v="0"/>
    <x v="0"/>
    <x v="2"/>
  </r>
  <r>
    <s v="Call_7284"/>
    <x v="6"/>
    <n v="139"/>
    <x v="1"/>
    <n v="96"/>
    <n v="4"/>
    <x v="3"/>
    <n v="2023"/>
    <n v="1"/>
    <n v="1"/>
    <x v="0"/>
    <x v="3"/>
    <x v="0"/>
    <x v="1"/>
    <x v="2"/>
  </r>
  <r>
    <s v="Call_7285"/>
    <x v="7"/>
    <n v="48"/>
    <x v="2"/>
    <n v="68"/>
    <n v="4.9000000000000004"/>
    <x v="3"/>
    <n v="2023"/>
    <n v="1"/>
    <n v="1"/>
    <x v="0"/>
    <x v="3"/>
    <x v="0"/>
    <x v="2"/>
    <x v="0"/>
  </r>
  <r>
    <s v="Call_7286"/>
    <x v="6"/>
    <n v="176"/>
    <x v="0"/>
    <n v="24"/>
    <n v="4.8"/>
    <x v="4"/>
    <n v="2023"/>
    <n v="1"/>
    <n v="1"/>
    <x v="0"/>
    <x v="4"/>
    <x v="0"/>
    <x v="1"/>
    <x v="0"/>
  </r>
  <r>
    <s v="Call_7287"/>
    <x v="6"/>
    <n v="99"/>
    <x v="2"/>
    <n v="195"/>
    <n v="3.9"/>
    <x v="4"/>
    <n v="2023"/>
    <n v="1"/>
    <n v="1"/>
    <x v="0"/>
    <x v="4"/>
    <x v="0"/>
    <x v="0"/>
    <x v="2"/>
  </r>
  <r>
    <s v="Call_7288"/>
    <x v="9"/>
    <n v="28"/>
    <x v="4"/>
    <n v="28"/>
    <n v="3.8"/>
    <x v="4"/>
    <n v="2023"/>
    <n v="1"/>
    <n v="1"/>
    <x v="0"/>
    <x v="4"/>
    <x v="0"/>
    <x v="3"/>
    <x v="2"/>
  </r>
  <r>
    <s v="Call_7289"/>
    <x v="5"/>
    <n v="54"/>
    <x v="1"/>
    <n v="170"/>
    <n v="4.3"/>
    <x v="4"/>
    <n v="2023"/>
    <n v="1"/>
    <n v="1"/>
    <x v="0"/>
    <x v="4"/>
    <x v="0"/>
    <x v="2"/>
    <x v="2"/>
  </r>
  <r>
    <s v="Call_7290"/>
    <x v="10"/>
    <n v="48"/>
    <x v="0"/>
    <n v="30"/>
    <n v="4.4000000000000004"/>
    <x v="5"/>
    <n v="2023"/>
    <n v="1"/>
    <n v="1"/>
    <x v="0"/>
    <x v="5"/>
    <x v="0"/>
    <x v="2"/>
    <x v="2"/>
  </r>
  <r>
    <s v="Call_7291"/>
    <x v="1"/>
    <n v="128"/>
    <x v="0"/>
    <n v="72"/>
    <n v="5"/>
    <x v="5"/>
    <n v="2023"/>
    <n v="1"/>
    <n v="1"/>
    <x v="0"/>
    <x v="5"/>
    <x v="0"/>
    <x v="1"/>
    <x v="0"/>
  </r>
  <r>
    <s v="Call_7292"/>
    <x v="1"/>
    <n v="38"/>
    <x v="3"/>
    <n v="92"/>
    <n v="4.9000000000000004"/>
    <x v="6"/>
    <n v="2023"/>
    <n v="1"/>
    <n v="1"/>
    <x v="0"/>
    <x v="6"/>
    <x v="0"/>
    <x v="2"/>
    <x v="0"/>
  </r>
  <r>
    <s v="Call_7293"/>
    <x v="0"/>
    <n v="67"/>
    <x v="3"/>
    <n v="165"/>
    <n v="4.5"/>
    <x v="7"/>
    <n v="2023"/>
    <n v="1"/>
    <n v="1"/>
    <x v="0"/>
    <x v="0"/>
    <x v="0"/>
    <x v="0"/>
    <x v="2"/>
  </r>
  <r>
    <s v="Call_7294"/>
    <x v="11"/>
    <n v="58"/>
    <x v="1"/>
    <n v="140"/>
    <n v="2.1"/>
    <x v="7"/>
    <n v="2023"/>
    <n v="1"/>
    <n v="1"/>
    <x v="0"/>
    <x v="0"/>
    <x v="0"/>
    <x v="2"/>
    <x v="3"/>
  </r>
  <r>
    <s v="Call_7295"/>
    <x v="6"/>
    <n v="54"/>
    <x v="2"/>
    <n v="111"/>
    <n v="3.3"/>
    <x v="7"/>
    <n v="2023"/>
    <n v="1"/>
    <n v="1"/>
    <x v="0"/>
    <x v="0"/>
    <x v="0"/>
    <x v="2"/>
    <x v="1"/>
  </r>
  <r>
    <s v="Call_7296"/>
    <x v="12"/>
    <n v="28"/>
    <x v="0"/>
    <n v="63"/>
    <n v="4.0999999999999996"/>
    <x v="8"/>
    <n v="2023"/>
    <n v="1"/>
    <n v="1"/>
    <x v="0"/>
    <x v="1"/>
    <x v="0"/>
    <x v="3"/>
    <x v="2"/>
  </r>
  <r>
    <s v="Call_7297"/>
    <x v="8"/>
    <n v="73"/>
    <x v="0"/>
    <n v="80"/>
    <n v="4.2"/>
    <x v="8"/>
    <n v="2023"/>
    <n v="1"/>
    <n v="1"/>
    <x v="0"/>
    <x v="1"/>
    <x v="0"/>
    <x v="0"/>
    <x v="2"/>
  </r>
  <r>
    <s v="Call_7298"/>
    <x v="4"/>
    <n v="81"/>
    <x v="0"/>
    <n v="50"/>
    <n v="4.5999999999999996"/>
    <x v="9"/>
    <n v="2023"/>
    <n v="1"/>
    <n v="1"/>
    <x v="0"/>
    <x v="2"/>
    <x v="0"/>
    <x v="0"/>
    <x v="0"/>
  </r>
  <r>
    <s v="Call_7299"/>
    <x v="9"/>
    <n v="31"/>
    <x v="3"/>
    <n v="123"/>
    <n v="2.9"/>
    <x v="9"/>
    <n v="2023"/>
    <n v="1"/>
    <n v="1"/>
    <x v="0"/>
    <x v="2"/>
    <x v="0"/>
    <x v="2"/>
    <x v="1"/>
  </r>
  <r>
    <s v="Call_7300"/>
    <x v="11"/>
    <n v="155"/>
    <x v="2"/>
    <n v="110"/>
    <n v="4.8"/>
    <x v="9"/>
    <n v="2023"/>
    <n v="1"/>
    <n v="1"/>
    <x v="0"/>
    <x v="2"/>
    <x v="0"/>
    <x v="1"/>
    <x v="0"/>
  </r>
  <r>
    <s v="Call_7301"/>
    <x v="9"/>
    <n v="80"/>
    <x v="0"/>
    <n v="140"/>
    <n v="4.2"/>
    <x v="9"/>
    <n v="2023"/>
    <n v="1"/>
    <n v="1"/>
    <x v="0"/>
    <x v="2"/>
    <x v="0"/>
    <x v="0"/>
    <x v="2"/>
  </r>
  <r>
    <s v="Call_7302"/>
    <x v="4"/>
    <n v="82"/>
    <x v="0"/>
    <n v="42"/>
    <n v="3.7"/>
    <x v="10"/>
    <n v="2023"/>
    <n v="1"/>
    <n v="1"/>
    <x v="0"/>
    <x v="4"/>
    <x v="0"/>
    <x v="0"/>
    <x v="2"/>
  </r>
  <r>
    <s v="Call_7303"/>
    <x v="4"/>
    <n v="29"/>
    <x v="2"/>
    <n v="170"/>
    <n v="5"/>
    <x v="10"/>
    <n v="2023"/>
    <n v="1"/>
    <n v="1"/>
    <x v="0"/>
    <x v="4"/>
    <x v="0"/>
    <x v="3"/>
    <x v="0"/>
  </r>
  <r>
    <s v="Call_7304"/>
    <x v="10"/>
    <n v="160"/>
    <x v="1"/>
    <n v="105"/>
    <n v="5"/>
    <x v="11"/>
    <n v="2023"/>
    <n v="1"/>
    <n v="1"/>
    <x v="0"/>
    <x v="6"/>
    <x v="0"/>
    <x v="1"/>
    <x v="0"/>
  </r>
  <r>
    <s v="Call_7305"/>
    <x v="13"/>
    <n v="105"/>
    <x v="0"/>
    <n v="125"/>
    <n v="4.8"/>
    <x v="12"/>
    <n v="2023"/>
    <n v="1"/>
    <n v="1"/>
    <x v="0"/>
    <x v="0"/>
    <x v="0"/>
    <x v="0"/>
    <x v="0"/>
  </r>
  <r>
    <s v="Call_7306"/>
    <x v="9"/>
    <n v="75"/>
    <x v="4"/>
    <n v="26"/>
    <n v="2.4"/>
    <x v="12"/>
    <n v="2023"/>
    <n v="1"/>
    <n v="1"/>
    <x v="0"/>
    <x v="0"/>
    <x v="0"/>
    <x v="0"/>
    <x v="3"/>
  </r>
  <r>
    <s v="Call_7307"/>
    <x v="11"/>
    <n v="94"/>
    <x v="4"/>
    <n v="120"/>
    <n v="3.1"/>
    <x v="13"/>
    <n v="2023"/>
    <n v="1"/>
    <n v="1"/>
    <x v="0"/>
    <x v="1"/>
    <x v="0"/>
    <x v="0"/>
    <x v="1"/>
  </r>
  <r>
    <s v="Call_7308"/>
    <x v="1"/>
    <n v="90"/>
    <x v="1"/>
    <n v="132"/>
    <n v="3.2"/>
    <x v="13"/>
    <n v="2023"/>
    <n v="1"/>
    <n v="1"/>
    <x v="0"/>
    <x v="1"/>
    <x v="0"/>
    <x v="0"/>
    <x v="1"/>
  </r>
  <r>
    <s v="Call_7309"/>
    <x v="11"/>
    <n v="81"/>
    <x v="3"/>
    <n v="86"/>
    <n v="2.4"/>
    <x v="14"/>
    <n v="2023"/>
    <n v="1"/>
    <n v="1"/>
    <x v="0"/>
    <x v="2"/>
    <x v="0"/>
    <x v="0"/>
    <x v="3"/>
  </r>
  <r>
    <s v="Call_7310"/>
    <x v="9"/>
    <n v="106"/>
    <x v="0"/>
    <n v="108"/>
    <n v="5"/>
    <x v="14"/>
    <n v="2023"/>
    <n v="1"/>
    <n v="1"/>
    <x v="0"/>
    <x v="2"/>
    <x v="0"/>
    <x v="0"/>
    <x v="0"/>
  </r>
  <r>
    <s v="Call_7311"/>
    <x v="1"/>
    <n v="74"/>
    <x v="3"/>
    <n v="96"/>
    <n v="4.7"/>
    <x v="14"/>
    <n v="2023"/>
    <n v="1"/>
    <n v="1"/>
    <x v="0"/>
    <x v="2"/>
    <x v="0"/>
    <x v="0"/>
    <x v="0"/>
  </r>
  <r>
    <s v="Call_7312"/>
    <x v="6"/>
    <n v="105"/>
    <x v="1"/>
    <n v="80"/>
    <n v="4.7"/>
    <x v="15"/>
    <n v="2023"/>
    <n v="1"/>
    <n v="1"/>
    <x v="0"/>
    <x v="3"/>
    <x v="0"/>
    <x v="0"/>
    <x v="0"/>
  </r>
  <r>
    <s v="Call_7313"/>
    <x v="9"/>
    <n v="89"/>
    <x v="0"/>
    <n v="155"/>
    <n v="4.0999999999999996"/>
    <x v="15"/>
    <n v="2023"/>
    <n v="1"/>
    <n v="1"/>
    <x v="0"/>
    <x v="3"/>
    <x v="0"/>
    <x v="0"/>
    <x v="2"/>
  </r>
  <r>
    <s v="Call_7314"/>
    <x v="7"/>
    <n v="132"/>
    <x v="4"/>
    <n v="168"/>
    <n v="4.0999999999999996"/>
    <x v="15"/>
    <n v="2023"/>
    <n v="1"/>
    <n v="1"/>
    <x v="0"/>
    <x v="3"/>
    <x v="0"/>
    <x v="1"/>
    <x v="2"/>
  </r>
  <r>
    <s v="Call_7315"/>
    <x v="13"/>
    <n v="105"/>
    <x v="2"/>
    <n v="56"/>
    <n v="3.6"/>
    <x v="15"/>
    <n v="2023"/>
    <n v="1"/>
    <n v="1"/>
    <x v="0"/>
    <x v="3"/>
    <x v="0"/>
    <x v="0"/>
    <x v="2"/>
  </r>
  <r>
    <s v="Call_7316"/>
    <x v="4"/>
    <n v="13"/>
    <x v="4"/>
    <n v="32"/>
    <n v="4.4000000000000004"/>
    <x v="16"/>
    <n v="2023"/>
    <n v="1"/>
    <n v="1"/>
    <x v="0"/>
    <x v="4"/>
    <x v="0"/>
    <x v="3"/>
    <x v="2"/>
  </r>
  <r>
    <s v="Call_7317"/>
    <x v="3"/>
    <n v="131"/>
    <x v="2"/>
    <n v="78"/>
    <n v="4.4000000000000004"/>
    <x v="16"/>
    <n v="2023"/>
    <n v="1"/>
    <n v="1"/>
    <x v="0"/>
    <x v="4"/>
    <x v="0"/>
    <x v="1"/>
    <x v="2"/>
  </r>
  <r>
    <s v="Call_7318"/>
    <x v="1"/>
    <n v="104"/>
    <x v="0"/>
    <n v="86"/>
    <n v="4"/>
    <x v="16"/>
    <n v="2023"/>
    <n v="1"/>
    <n v="1"/>
    <x v="0"/>
    <x v="4"/>
    <x v="0"/>
    <x v="0"/>
    <x v="2"/>
  </r>
  <r>
    <s v="Call_7319"/>
    <x v="0"/>
    <n v="90"/>
    <x v="1"/>
    <n v="64"/>
    <n v="3.8"/>
    <x v="17"/>
    <n v="2023"/>
    <n v="1"/>
    <n v="1"/>
    <x v="0"/>
    <x v="5"/>
    <x v="0"/>
    <x v="0"/>
    <x v="2"/>
  </r>
  <r>
    <s v="Call_7320"/>
    <x v="12"/>
    <n v="37"/>
    <x v="1"/>
    <n v="96"/>
    <n v="3.6"/>
    <x v="17"/>
    <n v="2023"/>
    <n v="1"/>
    <n v="1"/>
    <x v="0"/>
    <x v="5"/>
    <x v="0"/>
    <x v="2"/>
    <x v="2"/>
  </r>
  <r>
    <s v="Call_7321"/>
    <x v="8"/>
    <n v="149"/>
    <x v="2"/>
    <n v="72"/>
    <n v="4.3"/>
    <x v="17"/>
    <n v="2023"/>
    <n v="1"/>
    <n v="1"/>
    <x v="0"/>
    <x v="5"/>
    <x v="0"/>
    <x v="1"/>
    <x v="2"/>
  </r>
  <r>
    <s v="Call_7322"/>
    <x v="7"/>
    <n v="100"/>
    <x v="3"/>
    <n v="135"/>
    <n v="3.8"/>
    <x v="18"/>
    <n v="2023"/>
    <n v="1"/>
    <n v="1"/>
    <x v="0"/>
    <x v="6"/>
    <x v="0"/>
    <x v="0"/>
    <x v="2"/>
  </r>
  <r>
    <s v="Call_7323"/>
    <x v="7"/>
    <n v="79"/>
    <x v="4"/>
    <n v="140"/>
    <n v="4.5"/>
    <x v="18"/>
    <n v="2023"/>
    <n v="1"/>
    <n v="1"/>
    <x v="0"/>
    <x v="6"/>
    <x v="0"/>
    <x v="0"/>
    <x v="2"/>
  </r>
  <r>
    <s v="Call_7324"/>
    <x v="14"/>
    <n v="157"/>
    <x v="2"/>
    <n v="69"/>
    <n v="4.5"/>
    <x v="18"/>
    <n v="2023"/>
    <n v="1"/>
    <n v="1"/>
    <x v="0"/>
    <x v="6"/>
    <x v="0"/>
    <x v="1"/>
    <x v="2"/>
  </r>
  <r>
    <s v="Call_7325"/>
    <x v="7"/>
    <n v="59"/>
    <x v="0"/>
    <n v="136"/>
    <n v="4.5999999999999996"/>
    <x v="19"/>
    <n v="2023"/>
    <n v="1"/>
    <n v="1"/>
    <x v="0"/>
    <x v="0"/>
    <x v="0"/>
    <x v="2"/>
    <x v="0"/>
  </r>
  <r>
    <s v="Call_7326"/>
    <x v="12"/>
    <n v="83"/>
    <x v="2"/>
    <n v="28"/>
    <n v="4.5"/>
    <x v="19"/>
    <n v="2023"/>
    <n v="1"/>
    <n v="1"/>
    <x v="0"/>
    <x v="0"/>
    <x v="0"/>
    <x v="0"/>
    <x v="2"/>
  </r>
  <r>
    <s v="Call_7327"/>
    <x v="14"/>
    <n v="58"/>
    <x v="1"/>
    <n v="135"/>
    <n v="3.3"/>
    <x v="20"/>
    <n v="2023"/>
    <n v="1"/>
    <n v="1"/>
    <x v="0"/>
    <x v="1"/>
    <x v="0"/>
    <x v="2"/>
    <x v="1"/>
  </r>
  <r>
    <s v="Call_7328"/>
    <x v="11"/>
    <n v="118"/>
    <x v="1"/>
    <n v="126"/>
    <n v="2.2999999999999998"/>
    <x v="20"/>
    <n v="2023"/>
    <n v="1"/>
    <n v="1"/>
    <x v="0"/>
    <x v="1"/>
    <x v="0"/>
    <x v="0"/>
    <x v="3"/>
  </r>
  <r>
    <s v="Call_7329"/>
    <x v="4"/>
    <n v="63"/>
    <x v="0"/>
    <n v="160"/>
    <n v="4.3"/>
    <x v="20"/>
    <n v="2023"/>
    <n v="1"/>
    <n v="1"/>
    <x v="0"/>
    <x v="1"/>
    <x v="0"/>
    <x v="0"/>
    <x v="2"/>
  </r>
  <r>
    <s v="Call_7330"/>
    <x v="14"/>
    <n v="95"/>
    <x v="1"/>
    <n v="48"/>
    <n v="4.5999999999999996"/>
    <x v="21"/>
    <n v="2023"/>
    <n v="1"/>
    <n v="1"/>
    <x v="0"/>
    <x v="2"/>
    <x v="0"/>
    <x v="0"/>
    <x v="0"/>
  </r>
  <r>
    <s v="Call_7331"/>
    <x v="7"/>
    <n v="74"/>
    <x v="2"/>
    <n v="66"/>
    <n v="4"/>
    <x v="21"/>
    <n v="2023"/>
    <n v="1"/>
    <n v="1"/>
    <x v="0"/>
    <x v="2"/>
    <x v="0"/>
    <x v="0"/>
    <x v="2"/>
  </r>
  <r>
    <s v="Call_7332"/>
    <x v="6"/>
    <n v="130"/>
    <x v="3"/>
    <n v="126"/>
    <n v="2.5"/>
    <x v="21"/>
    <n v="2023"/>
    <n v="1"/>
    <n v="1"/>
    <x v="0"/>
    <x v="2"/>
    <x v="0"/>
    <x v="1"/>
    <x v="3"/>
  </r>
  <r>
    <s v="Call_7333"/>
    <x v="11"/>
    <n v="110"/>
    <x v="4"/>
    <n v="96"/>
    <n v="5"/>
    <x v="21"/>
    <n v="2023"/>
    <n v="1"/>
    <n v="1"/>
    <x v="0"/>
    <x v="2"/>
    <x v="0"/>
    <x v="0"/>
    <x v="0"/>
  </r>
  <r>
    <s v="Call_7334"/>
    <x v="7"/>
    <n v="71"/>
    <x v="0"/>
    <n v="90"/>
    <n v="3.8"/>
    <x v="22"/>
    <n v="2023"/>
    <n v="1"/>
    <n v="1"/>
    <x v="0"/>
    <x v="3"/>
    <x v="0"/>
    <x v="0"/>
    <x v="2"/>
  </r>
  <r>
    <s v="Call_7335"/>
    <x v="13"/>
    <n v="147"/>
    <x v="3"/>
    <n v="105"/>
    <n v="4.4000000000000004"/>
    <x v="22"/>
    <n v="2023"/>
    <n v="1"/>
    <n v="1"/>
    <x v="0"/>
    <x v="3"/>
    <x v="0"/>
    <x v="1"/>
    <x v="2"/>
  </r>
  <r>
    <s v="Call_7336"/>
    <x v="1"/>
    <n v="69"/>
    <x v="1"/>
    <n v="40"/>
    <n v="3.8"/>
    <x v="23"/>
    <n v="2023"/>
    <n v="1"/>
    <n v="1"/>
    <x v="0"/>
    <x v="4"/>
    <x v="0"/>
    <x v="0"/>
    <x v="2"/>
  </r>
  <r>
    <s v="Call_7337"/>
    <x v="11"/>
    <n v="50"/>
    <x v="0"/>
    <n v="60"/>
    <n v="2"/>
    <x v="23"/>
    <n v="2023"/>
    <n v="1"/>
    <n v="1"/>
    <x v="0"/>
    <x v="4"/>
    <x v="0"/>
    <x v="2"/>
    <x v="3"/>
  </r>
  <r>
    <s v="Call_7338"/>
    <x v="6"/>
    <n v="124"/>
    <x v="3"/>
    <n v="215"/>
    <n v="4.0999999999999996"/>
    <x v="24"/>
    <n v="2023"/>
    <n v="1"/>
    <n v="1"/>
    <x v="0"/>
    <x v="5"/>
    <x v="0"/>
    <x v="1"/>
    <x v="2"/>
  </r>
  <r>
    <s v="Call_7339"/>
    <x v="2"/>
    <n v="81"/>
    <x v="2"/>
    <n v="156"/>
    <n v="2.6"/>
    <x v="24"/>
    <n v="2023"/>
    <n v="1"/>
    <n v="1"/>
    <x v="0"/>
    <x v="5"/>
    <x v="0"/>
    <x v="0"/>
    <x v="1"/>
  </r>
  <r>
    <s v="Call_7341"/>
    <x v="10"/>
    <n v="168"/>
    <x v="4"/>
    <n v="160"/>
    <n v="3.9"/>
    <x v="25"/>
    <n v="2023"/>
    <n v="1"/>
    <n v="1"/>
    <x v="0"/>
    <x v="6"/>
    <x v="0"/>
    <x v="1"/>
    <x v="2"/>
  </r>
  <r>
    <s v="Call_7342"/>
    <x v="13"/>
    <n v="101"/>
    <x v="2"/>
    <n v="80"/>
    <n v="4.8"/>
    <x v="25"/>
    <n v="2023"/>
    <n v="1"/>
    <n v="1"/>
    <x v="0"/>
    <x v="6"/>
    <x v="0"/>
    <x v="0"/>
    <x v="0"/>
  </r>
  <r>
    <s v="Call_7343"/>
    <x v="7"/>
    <n v="67"/>
    <x v="2"/>
    <n v="168"/>
    <n v="2.6"/>
    <x v="25"/>
    <n v="2023"/>
    <n v="1"/>
    <n v="1"/>
    <x v="0"/>
    <x v="6"/>
    <x v="0"/>
    <x v="0"/>
    <x v="1"/>
  </r>
  <r>
    <s v="Call_7344"/>
    <x v="14"/>
    <n v="114"/>
    <x v="4"/>
    <n v="42"/>
    <n v="2.6"/>
    <x v="26"/>
    <n v="2023"/>
    <n v="1"/>
    <n v="1"/>
    <x v="0"/>
    <x v="1"/>
    <x v="0"/>
    <x v="0"/>
    <x v="1"/>
  </r>
  <r>
    <s v="Call_7345"/>
    <x v="2"/>
    <n v="42"/>
    <x v="2"/>
    <n v="205"/>
    <n v="3.6"/>
    <x v="26"/>
    <n v="2023"/>
    <n v="1"/>
    <n v="1"/>
    <x v="0"/>
    <x v="1"/>
    <x v="0"/>
    <x v="2"/>
    <x v="2"/>
  </r>
  <r>
    <s v="Call_7346"/>
    <x v="4"/>
    <n v="69"/>
    <x v="4"/>
    <n v="108"/>
    <n v="3.3"/>
    <x v="26"/>
    <n v="2023"/>
    <n v="1"/>
    <n v="1"/>
    <x v="0"/>
    <x v="1"/>
    <x v="0"/>
    <x v="0"/>
    <x v="1"/>
  </r>
  <r>
    <s v="Call_7347"/>
    <x v="6"/>
    <n v="145"/>
    <x v="1"/>
    <n v="78"/>
    <n v="1.9"/>
    <x v="26"/>
    <n v="2023"/>
    <n v="1"/>
    <n v="1"/>
    <x v="0"/>
    <x v="1"/>
    <x v="0"/>
    <x v="1"/>
    <x v="3"/>
  </r>
  <r>
    <s v="Call_7348"/>
    <x v="1"/>
    <n v="43"/>
    <x v="4"/>
    <n v="23"/>
    <n v="4.9000000000000004"/>
    <x v="26"/>
    <n v="2023"/>
    <n v="1"/>
    <n v="1"/>
    <x v="0"/>
    <x v="1"/>
    <x v="0"/>
    <x v="2"/>
    <x v="0"/>
  </r>
  <r>
    <s v="Call_7349"/>
    <x v="4"/>
    <n v="62"/>
    <x v="0"/>
    <n v="99"/>
    <n v="3.6"/>
    <x v="27"/>
    <n v="2023"/>
    <n v="1"/>
    <n v="1"/>
    <x v="0"/>
    <x v="2"/>
    <x v="0"/>
    <x v="0"/>
    <x v="2"/>
  </r>
  <r>
    <s v="Call_7350"/>
    <x v="9"/>
    <n v="79"/>
    <x v="4"/>
    <n v="148"/>
    <n v="4.5"/>
    <x v="28"/>
    <n v="2023"/>
    <n v="1"/>
    <n v="2"/>
    <x v="1"/>
    <x v="3"/>
    <x v="0"/>
    <x v="0"/>
    <x v="2"/>
  </r>
  <r>
    <s v="Call_7351"/>
    <x v="6"/>
    <n v="45"/>
    <x v="3"/>
    <n v="34"/>
    <n v="3.7"/>
    <x v="28"/>
    <n v="2023"/>
    <n v="1"/>
    <n v="2"/>
    <x v="1"/>
    <x v="3"/>
    <x v="0"/>
    <x v="2"/>
    <x v="2"/>
  </r>
  <r>
    <s v="Call_7352"/>
    <x v="4"/>
    <n v="137"/>
    <x v="4"/>
    <n v="86"/>
    <n v="4.8"/>
    <x v="28"/>
    <n v="2023"/>
    <n v="1"/>
    <n v="2"/>
    <x v="1"/>
    <x v="3"/>
    <x v="0"/>
    <x v="1"/>
    <x v="0"/>
  </r>
  <r>
    <s v="Call_7353"/>
    <x v="14"/>
    <n v="109"/>
    <x v="0"/>
    <n v="105"/>
    <n v="3.3"/>
    <x v="28"/>
    <n v="2023"/>
    <n v="1"/>
    <n v="2"/>
    <x v="1"/>
    <x v="3"/>
    <x v="0"/>
    <x v="0"/>
    <x v="1"/>
  </r>
  <r>
    <s v="Call_7354"/>
    <x v="1"/>
    <n v="78"/>
    <x v="0"/>
    <n v="62"/>
    <n v="3.1"/>
    <x v="28"/>
    <n v="2023"/>
    <n v="1"/>
    <n v="2"/>
    <x v="1"/>
    <x v="3"/>
    <x v="0"/>
    <x v="0"/>
    <x v="1"/>
  </r>
  <r>
    <s v="Call_7355"/>
    <x v="4"/>
    <n v="137"/>
    <x v="3"/>
    <n v="90"/>
    <n v="4.0999999999999996"/>
    <x v="28"/>
    <n v="2023"/>
    <n v="1"/>
    <n v="2"/>
    <x v="1"/>
    <x v="3"/>
    <x v="0"/>
    <x v="1"/>
    <x v="2"/>
  </r>
  <r>
    <s v="Call_7356"/>
    <x v="3"/>
    <n v="99"/>
    <x v="0"/>
    <n v="112"/>
    <n v="4.9000000000000004"/>
    <x v="29"/>
    <n v="2023"/>
    <n v="1"/>
    <n v="2"/>
    <x v="1"/>
    <x v="4"/>
    <x v="0"/>
    <x v="0"/>
    <x v="0"/>
  </r>
  <r>
    <s v="Call_7357"/>
    <x v="11"/>
    <n v="100"/>
    <x v="0"/>
    <n v="135"/>
    <n v="4"/>
    <x v="29"/>
    <n v="2023"/>
    <n v="1"/>
    <n v="2"/>
    <x v="1"/>
    <x v="4"/>
    <x v="0"/>
    <x v="0"/>
    <x v="2"/>
  </r>
  <r>
    <s v="Call_7358"/>
    <x v="1"/>
    <n v="47"/>
    <x v="1"/>
    <n v="34"/>
    <n v="2.1"/>
    <x v="29"/>
    <n v="2023"/>
    <n v="1"/>
    <n v="2"/>
    <x v="1"/>
    <x v="4"/>
    <x v="0"/>
    <x v="2"/>
    <x v="3"/>
  </r>
  <r>
    <s v="Call_7359"/>
    <x v="14"/>
    <n v="87"/>
    <x v="2"/>
    <n v="155"/>
    <n v="4.5"/>
    <x v="29"/>
    <n v="2023"/>
    <n v="1"/>
    <n v="2"/>
    <x v="1"/>
    <x v="4"/>
    <x v="0"/>
    <x v="0"/>
    <x v="2"/>
  </r>
  <r>
    <s v="Call_7360"/>
    <x v="3"/>
    <n v="143"/>
    <x v="2"/>
    <n v="124"/>
    <n v="4.9000000000000004"/>
    <x v="30"/>
    <n v="2023"/>
    <n v="1"/>
    <n v="2"/>
    <x v="1"/>
    <x v="6"/>
    <x v="0"/>
    <x v="1"/>
    <x v="0"/>
  </r>
  <r>
    <s v="Call_7361"/>
    <x v="11"/>
    <n v="84"/>
    <x v="0"/>
    <n v="195"/>
    <n v="4.0999999999999996"/>
    <x v="30"/>
    <n v="2023"/>
    <n v="1"/>
    <n v="2"/>
    <x v="1"/>
    <x v="6"/>
    <x v="0"/>
    <x v="0"/>
    <x v="2"/>
  </r>
  <r>
    <s v="Call_7362"/>
    <x v="13"/>
    <n v="55"/>
    <x v="2"/>
    <n v="78"/>
    <n v="4.5"/>
    <x v="31"/>
    <n v="2023"/>
    <n v="1"/>
    <n v="2"/>
    <x v="1"/>
    <x v="0"/>
    <x v="0"/>
    <x v="2"/>
    <x v="2"/>
  </r>
  <r>
    <s v="Call_7363"/>
    <x v="5"/>
    <n v="135"/>
    <x v="3"/>
    <n v="35"/>
    <n v="4.8"/>
    <x v="32"/>
    <n v="2023"/>
    <n v="1"/>
    <n v="2"/>
    <x v="1"/>
    <x v="2"/>
    <x v="0"/>
    <x v="1"/>
    <x v="0"/>
  </r>
  <r>
    <s v="Call_7364"/>
    <x v="12"/>
    <n v="152"/>
    <x v="1"/>
    <n v="123"/>
    <n v="4.5999999999999996"/>
    <x v="32"/>
    <n v="2023"/>
    <n v="1"/>
    <n v="2"/>
    <x v="1"/>
    <x v="2"/>
    <x v="0"/>
    <x v="1"/>
    <x v="0"/>
  </r>
  <r>
    <s v="Call_7365"/>
    <x v="2"/>
    <n v="132"/>
    <x v="1"/>
    <n v="43"/>
    <n v="4.5999999999999996"/>
    <x v="32"/>
    <n v="2023"/>
    <n v="1"/>
    <n v="2"/>
    <x v="1"/>
    <x v="2"/>
    <x v="0"/>
    <x v="1"/>
    <x v="0"/>
  </r>
  <r>
    <s v="Call_7366"/>
    <x v="10"/>
    <n v="60"/>
    <x v="0"/>
    <n v="69"/>
    <n v="4.3"/>
    <x v="33"/>
    <n v="2023"/>
    <n v="1"/>
    <n v="2"/>
    <x v="1"/>
    <x v="3"/>
    <x v="0"/>
    <x v="2"/>
    <x v="2"/>
  </r>
  <r>
    <s v="Call_7367"/>
    <x v="12"/>
    <n v="95"/>
    <x v="1"/>
    <n v="130"/>
    <n v="5"/>
    <x v="33"/>
    <n v="2023"/>
    <n v="1"/>
    <n v="2"/>
    <x v="1"/>
    <x v="3"/>
    <x v="0"/>
    <x v="0"/>
    <x v="0"/>
  </r>
  <r>
    <s v="Call_7368"/>
    <x v="0"/>
    <n v="96"/>
    <x v="4"/>
    <n v="120"/>
    <n v="4"/>
    <x v="33"/>
    <n v="2023"/>
    <n v="1"/>
    <n v="2"/>
    <x v="1"/>
    <x v="3"/>
    <x v="0"/>
    <x v="0"/>
    <x v="2"/>
  </r>
  <r>
    <s v="Call_7369"/>
    <x v="13"/>
    <n v="45"/>
    <x v="0"/>
    <n v="84"/>
    <n v="4.5999999999999996"/>
    <x v="34"/>
    <n v="2023"/>
    <n v="1"/>
    <n v="2"/>
    <x v="1"/>
    <x v="4"/>
    <x v="0"/>
    <x v="2"/>
    <x v="0"/>
  </r>
  <r>
    <s v="Call_7370"/>
    <x v="0"/>
    <n v="132"/>
    <x v="4"/>
    <n v="112"/>
    <n v="4.5"/>
    <x v="35"/>
    <n v="2023"/>
    <n v="1"/>
    <n v="2"/>
    <x v="1"/>
    <x v="5"/>
    <x v="0"/>
    <x v="1"/>
    <x v="2"/>
  </r>
  <r>
    <s v="Call_7371"/>
    <x v="7"/>
    <n v="95"/>
    <x v="0"/>
    <n v="66"/>
    <n v="4.5999999999999996"/>
    <x v="35"/>
    <n v="2023"/>
    <n v="1"/>
    <n v="2"/>
    <x v="1"/>
    <x v="5"/>
    <x v="0"/>
    <x v="0"/>
    <x v="0"/>
  </r>
  <r>
    <s v="Call_7372"/>
    <x v="12"/>
    <n v="131"/>
    <x v="2"/>
    <n v="172"/>
    <n v="2.6"/>
    <x v="35"/>
    <n v="2023"/>
    <n v="1"/>
    <n v="2"/>
    <x v="1"/>
    <x v="5"/>
    <x v="0"/>
    <x v="1"/>
    <x v="1"/>
  </r>
  <r>
    <s v="Call_7373"/>
    <x v="9"/>
    <n v="67"/>
    <x v="3"/>
    <n v="24"/>
    <n v="4.3"/>
    <x v="36"/>
    <n v="2023"/>
    <n v="1"/>
    <n v="2"/>
    <x v="1"/>
    <x v="6"/>
    <x v="0"/>
    <x v="0"/>
    <x v="2"/>
  </r>
  <r>
    <s v="Call_7374"/>
    <x v="3"/>
    <n v="111"/>
    <x v="2"/>
    <n v="43"/>
    <n v="3.9"/>
    <x v="37"/>
    <n v="2023"/>
    <n v="1"/>
    <n v="2"/>
    <x v="1"/>
    <x v="0"/>
    <x v="0"/>
    <x v="0"/>
    <x v="2"/>
  </r>
  <r>
    <s v="Call_7375"/>
    <x v="2"/>
    <n v="78"/>
    <x v="1"/>
    <n v="23"/>
    <n v="5"/>
    <x v="37"/>
    <n v="2023"/>
    <n v="1"/>
    <n v="2"/>
    <x v="1"/>
    <x v="0"/>
    <x v="0"/>
    <x v="0"/>
    <x v="0"/>
  </r>
  <r>
    <s v="Call_7376"/>
    <x v="8"/>
    <n v="28"/>
    <x v="4"/>
    <n v="74"/>
    <n v="3.5"/>
    <x v="37"/>
    <n v="2023"/>
    <n v="1"/>
    <n v="2"/>
    <x v="1"/>
    <x v="0"/>
    <x v="0"/>
    <x v="3"/>
    <x v="2"/>
  </r>
  <r>
    <s v="Call_7377"/>
    <x v="1"/>
    <n v="127"/>
    <x v="3"/>
    <n v="165"/>
    <n v="4.7"/>
    <x v="38"/>
    <n v="2023"/>
    <n v="1"/>
    <n v="2"/>
    <x v="1"/>
    <x v="1"/>
    <x v="0"/>
    <x v="1"/>
    <x v="0"/>
  </r>
  <r>
    <s v="Call_7378"/>
    <x v="11"/>
    <n v="137"/>
    <x v="2"/>
    <n v="34"/>
    <n v="2.9"/>
    <x v="38"/>
    <n v="2023"/>
    <n v="1"/>
    <n v="2"/>
    <x v="1"/>
    <x v="1"/>
    <x v="0"/>
    <x v="1"/>
    <x v="1"/>
  </r>
  <r>
    <s v="Call_7379"/>
    <x v="1"/>
    <n v="76"/>
    <x v="4"/>
    <n v="64"/>
    <n v="3.4"/>
    <x v="38"/>
    <n v="2023"/>
    <n v="1"/>
    <n v="2"/>
    <x v="1"/>
    <x v="1"/>
    <x v="0"/>
    <x v="0"/>
    <x v="1"/>
  </r>
  <r>
    <s v="Call_7380"/>
    <x v="2"/>
    <n v="80"/>
    <x v="3"/>
    <n v="155"/>
    <n v="3.2"/>
    <x v="39"/>
    <n v="2023"/>
    <n v="1"/>
    <n v="2"/>
    <x v="1"/>
    <x v="2"/>
    <x v="0"/>
    <x v="0"/>
    <x v="1"/>
  </r>
  <r>
    <s v="Call_7381"/>
    <x v="1"/>
    <n v="95"/>
    <x v="1"/>
    <n v="120"/>
    <n v="4.8"/>
    <x v="40"/>
    <n v="2023"/>
    <n v="1"/>
    <n v="2"/>
    <x v="1"/>
    <x v="3"/>
    <x v="0"/>
    <x v="0"/>
    <x v="0"/>
  </r>
  <r>
    <s v="Call_7382"/>
    <x v="10"/>
    <n v="30"/>
    <x v="4"/>
    <n v="105"/>
    <n v="3.6"/>
    <x v="40"/>
    <n v="2023"/>
    <n v="1"/>
    <n v="2"/>
    <x v="1"/>
    <x v="3"/>
    <x v="0"/>
    <x v="3"/>
    <x v="2"/>
  </r>
  <r>
    <s v="Call_7383"/>
    <x v="4"/>
    <n v="19"/>
    <x v="2"/>
    <n v="28"/>
    <n v="4.9000000000000004"/>
    <x v="40"/>
    <n v="2023"/>
    <n v="1"/>
    <n v="2"/>
    <x v="1"/>
    <x v="3"/>
    <x v="0"/>
    <x v="3"/>
    <x v="0"/>
  </r>
  <r>
    <s v="Call_7384"/>
    <x v="6"/>
    <n v="38"/>
    <x v="3"/>
    <n v="100"/>
    <n v="4.8"/>
    <x v="40"/>
    <n v="2023"/>
    <n v="1"/>
    <n v="2"/>
    <x v="1"/>
    <x v="3"/>
    <x v="0"/>
    <x v="2"/>
    <x v="0"/>
  </r>
  <r>
    <s v="Call_7385"/>
    <x v="7"/>
    <n v="55"/>
    <x v="2"/>
    <n v="23"/>
    <n v="3.6"/>
    <x v="40"/>
    <n v="2023"/>
    <n v="1"/>
    <n v="2"/>
    <x v="1"/>
    <x v="3"/>
    <x v="0"/>
    <x v="2"/>
    <x v="2"/>
  </r>
  <r>
    <s v="Call_7386"/>
    <x v="9"/>
    <n v="27"/>
    <x v="4"/>
    <n v="70"/>
    <n v="3.9"/>
    <x v="41"/>
    <n v="2023"/>
    <n v="1"/>
    <n v="2"/>
    <x v="1"/>
    <x v="4"/>
    <x v="0"/>
    <x v="3"/>
    <x v="2"/>
  </r>
  <r>
    <s v="Call_7387"/>
    <x v="9"/>
    <n v="32"/>
    <x v="4"/>
    <n v="37"/>
    <n v="1.9"/>
    <x v="41"/>
    <n v="2023"/>
    <n v="1"/>
    <n v="2"/>
    <x v="1"/>
    <x v="4"/>
    <x v="0"/>
    <x v="2"/>
    <x v="3"/>
  </r>
  <r>
    <s v="Call_7388"/>
    <x v="8"/>
    <n v="116"/>
    <x v="0"/>
    <n v="140"/>
    <n v="3.6"/>
    <x v="41"/>
    <n v="2023"/>
    <n v="1"/>
    <n v="2"/>
    <x v="1"/>
    <x v="4"/>
    <x v="0"/>
    <x v="0"/>
    <x v="2"/>
  </r>
  <r>
    <s v="Call_7389"/>
    <x v="0"/>
    <n v="99"/>
    <x v="1"/>
    <n v="78"/>
    <n v="4.0999999999999996"/>
    <x v="41"/>
    <n v="2023"/>
    <n v="1"/>
    <n v="2"/>
    <x v="1"/>
    <x v="4"/>
    <x v="0"/>
    <x v="0"/>
    <x v="2"/>
  </r>
  <r>
    <s v="Call_7390"/>
    <x v="1"/>
    <n v="75"/>
    <x v="4"/>
    <n v="21"/>
    <n v="4.2"/>
    <x v="42"/>
    <n v="2023"/>
    <n v="1"/>
    <n v="2"/>
    <x v="1"/>
    <x v="5"/>
    <x v="0"/>
    <x v="0"/>
    <x v="2"/>
  </r>
  <r>
    <s v="Call_7391"/>
    <x v="2"/>
    <n v="57"/>
    <x v="0"/>
    <n v="88"/>
    <n v="4.3"/>
    <x v="42"/>
    <n v="2023"/>
    <n v="1"/>
    <n v="2"/>
    <x v="1"/>
    <x v="5"/>
    <x v="0"/>
    <x v="2"/>
    <x v="2"/>
  </r>
  <r>
    <s v="Call_7392"/>
    <x v="5"/>
    <n v="155"/>
    <x v="0"/>
    <n v="180"/>
    <n v="2.2000000000000002"/>
    <x v="43"/>
    <n v="2023"/>
    <n v="1"/>
    <n v="2"/>
    <x v="1"/>
    <x v="6"/>
    <x v="0"/>
    <x v="1"/>
    <x v="3"/>
  </r>
  <r>
    <s v="Call_7393"/>
    <x v="0"/>
    <n v="68"/>
    <x v="1"/>
    <n v="22"/>
    <n v="3.3"/>
    <x v="43"/>
    <n v="2023"/>
    <n v="1"/>
    <n v="2"/>
    <x v="1"/>
    <x v="6"/>
    <x v="0"/>
    <x v="0"/>
    <x v="1"/>
  </r>
  <r>
    <s v="Call_7394"/>
    <x v="6"/>
    <n v="95"/>
    <x v="1"/>
    <n v="52"/>
    <n v="4.8"/>
    <x v="43"/>
    <n v="2023"/>
    <n v="1"/>
    <n v="2"/>
    <x v="1"/>
    <x v="6"/>
    <x v="0"/>
    <x v="0"/>
    <x v="0"/>
  </r>
  <r>
    <s v="Call_7395"/>
    <x v="11"/>
    <n v="65"/>
    <x v="0"/>
    <n v="80"/>
    <n v="4"/>
    <x v="44"/>
    <n v="2023"/>
    <n v="1"/>
    <n v="2"/>
    <x v="1"/>
    <x v="0"/>
    <x v="0"/>
    <x v="0"/>
    <x v="2"/>
  </r>
  <r>
    <s v="Call_7396"/>
    <x v="4"/>
    <n v="114"/>
    <x v="2"/>
    <n v="54"/>
    <n v="1.1000000000000001"/>
    <x v="44"/>
    <n v="2023"/>
    <n v="1"/>
    <n v="2"/>
    <x v="1"/>
    <x v="0"/>
    <x v="0"/>
    <x v="0"/>
    <x v="4"/>
  </r>
  <r>
    <s v="Call_7397"/>
    <x v="1"/>
    <n v="155"/>
    <x v="2"/>
    <n v="80"/>
    <n v="3.9"/>
    <x v="45"/>
    <n v="2023"/>
    <n v="1"/>
    <n v="2"/>
    <x v="1"/>
    <x v="1"/>
    <x v="0"/>
    <x v="1"/>
    <x v="2"/>
  </r>
  <r>
    <s v="Call_7398"/>
    <x v="11"/>
    <n v="114"/>
    <x v="0"/>
    <n v="120"/>
    <n v="1.8"/>
    <x v="46"/>
    <n v="2023"/>
    <n v="1"/>
    <n v="2"/>
    <x v="1"/>
    <x v="2"/>
    <x v="0"/>
    <x v="0"/>
    <x v="3"/>
  </r>
  <r>
    <s v="Call_7399"/>
    <x v="5"/>
    <n v="130"/>
    <x v="3"/>
    <n v="150"/>
    <n v="1"/>
    <x v="46"/>
    <n v="2023"/>
    <n v="1"/>
    <n v="2"/>
    <x v="1"/>
    <x v="2"/>
    <x v="0"/>
    <x v="1"/>
    <x v="4"/>
  </r>
  <r>
    <s v="Call_7400"/>
    <x v="1"/>
    <n v="89"/>
    <x v="0"/>
    <n v="90"/>
    <n v="4.3"/>
    <x v="46"/>
    <n v="2023"/>
    <n v="1"/>
    <n v="2"/>
    <x v="1"/>
    <x v="2"/>
    <x v="0"/>
    <x v="0"/>
    <x v="2"/>
  </r>
  <r>
    <s v="Call_7401"/>
    <x v="13"/>
    <n v="61"/>
    <x v="4"/>
    <n v="140"/>
    <n v="3.4"/>
    <x v="47"/>
    <n v="2023"/>
    <n v="1"/>
    <n v="2"/>
    <x v="1"/>
    <x v="3"/>
    <x v="0"/>
    <x v="0"/>
    <x v="1"/>
  </r>
  <r>
    <s v="Call_7402"/>
    <x v="6"/>
    <n v="154"/>
    <x v="2"/>
    <n v="22"/>
    <n v="3.4"/>
    <x v="47"/>
    <n v="2023"/>
    <n v="1"/>
    <n v="2"/>
    <x v="1"/>
    <x v="3"/>
    <x v="0"/>
    <x v="1"/>
    <x v="1"/>
  </r>
  <r>
    <s v="Call_7403"/>
    <x v="11"/>
    <n v="115"/>
    <x v="3"/>
    <n v="150"/>
    <n v="4.0999999999999996"/>
    <x v="48"/>
    <n v="2023"/>
    <n v="1"/>
    <n v="2"/>
    <x v="1"/>
    <x v="4"/>
    <x v="0"/>
    <x v="0"/>
    <x v="2"/>
  </r>
  <r>
    <s v="Call_7404"/>
    <x v="14"/>
    <n v="138"/>
    <x v="1"/>
    <n v="35"/>
    <n v="4.8"/>
    <x v="49"/>
    <n v="2023"/>
    <n v="1"/>
    <n v="2"/>
    <x v="1"/>
    <x v="5"/>
    <x v="0"/>
    <x v="1"/>
    <x v="0"/>
  </r>
  <r>
    <s v="Call_7405"/>
    <x v="3"/>
    <n v="153"/>
    <x v="0"/>
    <n v="200"/>
    <n v="2"/>
    <x v="49"/>
    <n v="2023"/>
    <n v="1"/>
    <n v="2"/>
    <x v="1"/>
    <x v="5"/>
    <x v="0"/>
    <x v="1"/>
    <x v="3"/>
  </r>
  <r>
    <s v="Call_7406"/>
    <x v="11"/>
    <n v="61"/>
    <x v="4"/>
    <n v="150"/>
    <n v="4.5999999999999996"/>
    <x v="50"/>
    <n v="2023"/>
    <n v="1"/>
    <n v="2"/>
    <x v="1"/>
    <x v="6"/>
    <x v="0"/>
    <x v="0"/>
    <x v="0"/>
  </r>
  <r>
    <s v="Call_7407"/>
    <x v="9"/>
    <n v="62"/>
    <x v="0"/>
    <n v="21"/>
    <n v="2.6"/>
    <x v="50"/>
    <n v="2023"/>
    <n v="1"/>
    <n v="2"/>
    <x v="1"/>
    <x v="6"/>
    <x v="0"/>
    <x v="0"/>
    <x v="1"/>
  </r>
  <r>
    <s v="Call_7408"/>
    <x v="13"/>
    <n v="151"/>
    <x v="3"/>
    <n v="46"/>
    <n v="4.9000000000000004"/>
    <x v="51"/>
    <n v="2023"/>
    <n v="1"/>
    <n v="2"/>
    <x v="1"/>
    <x v="0"/>
    <x v="0"/>
    <x v="1"/>
    <x v="0"/>
  </r>
  <r>
    <s v="Call_7409"/>
    <x v="12"/>
    <n v="102"/>
    <x v="2"/>
    <n v="165"/>
    <n v="2.7"/>
    <x v="51"/>
    <n v="2023"/>
    <n v="1"/>
    <n v="2"/>
    <x v="1"/>
    <x v="0"/>
    <x v="0"/>
    <x v="0"/>
    <x v="1"/>
  </r>
  <r>
    <s v="Call_7410"/>
    <x v="10"/>
    <n v="64"/>
    <x v="0"/>
    <n v="84"/>
    <n v="4.0999999999999996"/>
    <x v="51"/>
    <n v="2023"/>
    <n v="1"/>
    <n v="2"/>
    <x v="1"/>
    <x v="0"/>
    <x v="0"/>
    <x v="0"/>
    <x v="2"/>
  </r>
  <r>
    <s v="Call_7411"/>
    <x v="1"/>
    <n v="6"/>
    <x v="2"/>
    <n v="102"/>
    <n v="4.4000000000000004"/>
    <x v="52"/>
    <n v="2023"/>
    <n v="1"/>
    <n v="2"/>
    <x v="1"/>
    <x v="1"/>
    <x v="0"/>
    <x v="4"/>
    <x v="2"/>
  </r>
  <r>
    <s v="Call_7412"/>
    <x v="10"/>
    <n v="129"/>
    <x v="0"/>
    <n v="180"/>
    <n v="4.8"/>
    <x v="52"/>
    <n v="2023"/>
    <n v="1"/>
    <n v="2"/>
    <x v="1"/>
    <x v="1"/>
    <x v="0"/>
    <x v="1"/>
    <x v="0"/>
  </r>
  <r>
    <s v="Call_7413"/>
    <x v="9"/>
    <n v="42"/>
    <x v="3"/>
    <n v="111"/>
    <n v="3"/>
    <x v="53"/>
    <n v="2023"/>
    <n v="1"/>
    <n v="2"/>
    <x v="1"/>
    <x v="2"/>
    <x v="0"/>
    <x v="2"/>
    <x v="1"/>
  </r>
  <r>
    <s v="Call_7414"/>
    <x v="9"/>
    <n v="71"/>
    <x v="4"/>
    <n v="104"/>
    <n v="3.1"/>
    <x v="53"/>
    <n v="2023"/>
    <n v="1"/>
    <n v="2"/>
    <x v="1"/>
    <x v="2"/>
    <x v="0"/>
    <x v="0"/>
    <x v="1"/>
  </r>
  <r>
    <s v="Call_7415"/>
    <x v="2"/>
    <n v="53"/>
    <x v="2"/>
    <n v="80"/>
    <n v="2.6"/>
    <x v="53"/>
    <n v="2023"/>
    <n v="1"/>
    <n v="2"/>
    <x v="1"/>
    <x v="2"/>
    <x v="0"/>
    <x v="2"/>
    <x v="1"/>
  </r>
  <r>
    <s v="Call_7416"/>
    <x v="4"/>
    <n v="155"/>
    <x v="4"/>
    <n v="132"/>
    <n v="4.5999999999999996"/>
    <x v="54"/>
    <n v="2023"/>
    <n v="1"/>
    <n v="3"/>
    <x v="2"/>
    <x v="3"/>
    <x v="0"/>
    <x v="1"/>
    <x v="0"/>
  </r>
  <r>
    <s v="Call_7417"/>
    <x v="4"/>
    <n v="90"/>
    <x v="3"/>
    <n v="170"/>
    <n v="3.7"/>
    <x v="54"/>
    <n v="2023"/>
    <n v="1"/>
    <n v="3"/>
    <x v="2"/>
    <x v="3"/>
    <x v="0"/>
    <x v="0"/>
    <x v="2"/>
  </r>
  <r>
    <s v="Call_7418"/>
    <x v="10"/>
    <n v="166"/>
    <x v="1"/>
    <n v="36"/>
    <n v="3.8"/>
    <x v="54"/>
    <n v="2023"/>
    <n v="1"/>
    <n v="3"/>
    <x v="2"/>
    <x v="3"/>
    <x v="0"/>
    <x v="1"/>
    <x v="2"/>
  </r>
  <r>
    <s v="Call_7419"/>
    <x v="8"/>
    <n v="89"/>
    <x v="4"/>
    <n v="126"/>
    <n v="3.6"/>
    <x v="54"/>
    <n v="2023"/>
    <n v="1"/>
    <n v="3"/>
    <x v="2"/>
    <x v="3"/>
    <x v="0"/>
    <x v="0"/>
    <x v="2"/>
  </r>
  <r>
    <s v="Call_7420"/>
    <x v="11"/>
    <n v="152"/>
    <x v="2"/>
    <n v="215"/>
    <n v="4.4000000000000004"/>
    <x v="54"/>
    <n v="2023"/>
    <n v="1"/>
    <n v="3"/>
    <x v="2"/>
    <x v="3"/>
    <x v="0"/>
    <x v="1"/>
    <x v="2"/>
  </r>
  <r>
    <s v="Call_7421"/>
    <x v="8"/>
    <n v="137"/>
    <x v="3"/>
    <n v="114"/>
    <n v="3.2"/>
    <x v="54"/>
    <n v="2023"/>
    <n v="1"/>
    <n v="3"/>
    <x v="2"/>
    <x v="3"/>
    <x v="0"/>
    <x v="1"/>
    <x v="1"/>
  </r>
  <r>
    <s v="Call_7422"/>
    <x v="8"/>
    <n v="43"/>
    <x v="3"/>
    <n v="99"/>
    <n v="4.7"/>
    <x v="54"/>
    <n v="2023"/>
    <n v="1"/>
    <n v="3"/>
    <x v="2"/>
    <x v="3"/>
    <x v="0"/>
    <x v="2"/>
    <x v="0"/>
  </r>
  <r>
    <s v="Call_7423"/>
    <x v="6"/>
    <n v="114"/>
    <x v="3"/>
    <n v="23"/>
    <n v="4.8"/>
    <x v="55"/>
    <n v="2023"/>
    <n v="1"/>
    <n v="3"/>
    <x v="2"/>
    <x v="4"/>
    <x v="0"/>
    <x v="0"/>
    <x v="0"/>
  </r>
  <r>
    <s v="Call_7424"/>
    <x v="3"/>
    <n v="103"/>
    <x v="4"/>
    <n v="75"/>
    <n v="2.7"/>
    <x v="55"/>
    <n v="2023"/>
    <n v="1"/>
    <n v="3"/>
    <x v="2"/>
    <x v="4"/>
    <x v="0"/>
    <x v="0"/>
    <x v="1"/>
  </r>
  <r>
    <s v="Call_7425"/>
    <x v="8"/>
    <n v="98"/>
    <x v="2"/>
    <n v="100"/>
    <n v="3.8"/>
    <x v="55"/>
    <n v="2023"/>
    <n v="1"/>
    <n v="3"/>
    <x v="2"/>
    <x v="4"/>
    <x v="0"/>
    <x v="0"/>
    <x v="2"/>
  </r>
  <r>
    <s v="Call_7426"/>
    <x v="10"/>
    <n v="106"/>
    <x v="1"/>
    <n v="108"/>
    <n v="4.3"/>
    <x v="55"/>
    <n v="2023"/>
    <n v="1"/>
    <n v="3"/>
    <x v="2"/>
    <x v="4"/>
    <x v="0"/>
    <x v="0"/>
    <x v="2"/>
  </r>
  <r>
    <s v="Call_7427"/>
    <x v="1"/>
    <n v="96"/>
    <x v="1"/>
    <n v="108"/>
    <n v="5"/>
    <x v="55"/>
    <n v="2023"/>
    <n v="1"/>
    <n v="3"/>
    <x v="2"/>
    <x v="4"/>
    <x v="0"/>
    <x v="0"/>
    <x v="0"/>
  </r>
  <r>
    <s v="Call_7428"/>
    <x v="3"/>
    <n v="70"/>
    <x v="1"/>
    <n v="28"/>
    <n v="4.8"/>
    <x v="55"/>
    <n v="2023"/>
    <n v="1"/>
    <n v="3"/>
    <x v="2"/>
    <x v="4"/>
    <x v="0"/>
    <x v="0"/>
    <x v="0"/>
  </r>
  <r>
    <s v="Call_7429"/>
    <x v="9"/>
    <n v="86"/>
    <x v="0"/>
    <n v="70"/>
    <n v="4.9000000000000004"/>
    <x v="56"/>
    <n v="2023"/>
    <n v="1"/>
    <n v="3"/>
    <x v="2"/>
    <x v="5"/>
    <x v="0"/>
    <x v="0"/>
    <x v="0"/>
  </r>
  <r>
    <s v="Call_7430"/>
    <x v="2"/>
    <n v="64"/>
    <x v="0"/>
    <n v="172"/>
    <n v="4.0999999999999996"/>
    <x v="56"/>
    <n v="2023"/>
    <n v="1"/>
    <n v="3"/>
    <x v="2"/>
    <x v="5"/>
    <x v="0"/>
    <x v="0"/>
    <x v="2"/>
  </r>
  <r>
    <s v="Call_7431"/>
    <x v="1"/>
    <n v="113"/>
    <x v="2"/>
    <n v="123"/>
    <n v="4.4000000000000004"/>
    <x v="56"/>
    <n v="2023"/>
    <n v="1"/>
    <n v="3"/>
    <x v="2"/>
    <x v="5"/>
    <x v="0"/>
    <x v="0"/>
    <x v="2"/>
  </r>
  <r>
    <s v="Call_7432"/>
    <x v="1"/>
    <n v="21"/>
    <x v="1"/>
    <n v="93"/>
    <n v="3.4"/>
    <x v="56"/>
    <n v="2023"/>
    <n v="1"/>
    <n v="3"/>
    <x v="2"/>
    <x v="5"/>
    <x v="0"/>
    <x v="3"/>
    <x v="1"/>
  </r>
  <r>
    <s v="Call_7433"/>
    <x v="12"/>
    <n v="107"/>
    <x v="0"/>
    <n v="66"/>
    <n v="4"/>
    <x v="56"/>
    <n v="2023"/>
    <n v="1"/>
    <n v="3"/>
    <x v="2"/>
    <x v="5"/>
    <x v="0"/>
    <x v="0"/>
    <x v="2"/>
  </r>
  <r>
    <s v="Call_7434"/>
    <x v="12"/>
    <n v="131"/>
    <x v="1"/>
    <n v="39"/>
    <n v="2.4"/>
    <x v="56"/>
    <n v="2023"/>
    <n v="1"/>
    <n v="3"/>
    <x v="2"/>
    <x v="5"/>
    <x v="0"/>
    <x v="1"/>
    <x v="3"/>
  </r>
  <r>
    <s v="Call_7435"/>
    <x v="0"/>
    <n v="11"/>
    <x v="4"/>
    <n v="25"/>
    <n v="2.1"/>
    <x v="56"/>
    <n v="2023"/>
    <n v="1"/>
    <n v="3"/>
    <x v="2"/>
    <x v="5"/>
    <x v="0"/>
    <x v="3"/>
    <x v="3"/>
  </r>
  <r>
    <s v="Call_7436"/>
    <x v="13"/>
    <n v="86"/>
    <x v="2"/>
    <n v="68"/>
    <n v="3"/>
    <x v="56"/>
    <n v="2023"/>
    <n v="1"/>
    <n v="3"/>
    <x v="2"/>
    <x v="5"/>
    <x v="0"/>
    <x v="0"/>
    <x v="1"/>
  </r>
  <r>
    <s v="Call_7437"/>
    <x v="2"/>
    <n v="28"/>
    <x v="4"/>
    <n v="84"/>
    <n v="3.2"/>
    <x v="56"/>
    <n v="2023"/>
    <n v="1"/>
    <n v="3"/>
    <x v="2"/>
    <x v="5"/>
    <x v="0"/>
    <x v="3"/>
    <x v="1"/>
  </r>
  <r>
    <s v="Call_7438"/>
    <x v="4"/>
    <n v="139"/>
    <x v="1"/>
    <n v="88"/>
    <n v="3.4"/>
    <x v="57"/>
    <n v="2023"/>
    <n v="1"/>
    <n v="3"/>
    <x v="2"/>
    <x v="6"/>
    <x v="0"/>
    <x v="1"/>
    <x v="1"/>
  </r>
  <r>
    <s v="Call_7439"/>
    <x v="10"/>
    <n v="82"/>
    <x v="2"/>
    <n v="93"/>
    <n v="2.7"/>
    <x v="57"/>
    <n v="2023"/>
    <n v="1"/>
    <n v="3"/>
    <x v="2"/>
    <x v="6"/>
    <x v="0"/>
    <x v="0"/>
    <x v="1"/>
  </r>
  <r>
    <s v="Call_7440"/>
    <x v="1"/>
    <n v="101"/>
    <x v="4"/>
    <n v="128"/>
    <n v="5"/>
    <x v="57"/>
    <n v="2023"/>
    <n v="1"/>
    <n v="3"/>
    <x v="2"/>
    <x v="6"/>
    <x v="0"/>
    <x v="0"/>
    <x v="0"/>
  </r>
  <r>
    <s v="Call_7441"/>
    <x v="2"/>
    <n v="75"/>
    <x v="3"/>
    <n v="40"/>
    <n v="3.4"/>
    <x v="57"/>
    <n v="2023"/>
    <n v="1"/>
    <n v="3"/>
    <x v="2"/>
    <x v="6"/>
    <x v="0"/>
    <x v="0"/>
    <x v="1"/>
  </r>
  <r>
    <s v="Call_7442"/>
    <x v="6"/>
    <n v="40"/>
    <x v="4"/>
    <n v="92"/>
    <n v="4.7"/>
    <x v="58"/>
    <n v="2023"/>
    <n v="1"/>
    <n v="3"/>
    <x v="2"/>
    <x v="0"/>
    <x v="0"/>
    <x v="2"/>
    <x v="0"/>
  </r>
  <r>
    <s v="Call_7443"/>
    <x v="8"/>
    <n v="86"/>
    <x v="1"/>
    <n v="27"/>
    <n v="4.5"/>
    <x v="58"/>
    <n v="2023"/>
    <n v="1"/>
    <n v="3"/>
    <x v="2"/>
    <x v="0"/>
    <x v="0"/>
    <x v="0"/>
    <x v="2"/>
  </r>
  <r>
    <s v="Call_7444"/>
    <x v="5"/>
    <n v="131"/>
    <x v="0"/>
    <n v="140"/>
    <n v="4.0999999999999996"/>
    <x v="58"/>
    <n v="2023"/>
    <n v="1"/>
    <n v="3"/>
    <x v="2"/>
    <x v="0"/>
    <x v="0"/>
    <x v="1"/>
    <x v="2"/>
  </r>
  <r>
    <s v="Call_7445"/>
    <x v="12"/>
    <n v="67"/>
    <x v="2"/>
    <n v="40"/>
    <n v="5"/>
    <x v="58"/>
    <n v="2023"/>
    <n v="1"/>
    <n v="3"/>
    <x v="2"/>
    <x v="0"/>
    <x v="0"/>
    <x v="0"/>
    <x v="0"/>
  </r>
  <r>
    <s v="Call_7446"/>
    <x v="14"/>
    <n v="71"/>
    <x v="4"/>
    <n v="102"/>
    <n v="4.7"/>
    <x v="58"/>
    <n v="2023"/>
    <n v="1"/>
    <n v="3"/>
    <x v="2"/>
    <x v="0"/>
    <x v="0"/>
    <x v="0"/>
    <x v="0"/>
  </r>
  <r>
    <s v="Call_7447"/>
    <x v="5"/>
    <n v="113"/>
    <x v="0"/>
    <n v="42"/>
    <n v="4.2"/>
    <x v="58"/>
    <n v="2023"/>
    <n v="1"/>
    <n v="3"/>
    <x v="2"/>
    <x v="0"/>
    <x v="0"/>
    <x v="0"/>
    <x v="2"/>
  </r>
  <r>
    <s v="Call_7448"/>
    <x v="10"/>
    <n v="53"/>
    <x v="1"/>
    <n v="210"/>
    <n v="3.9"/>
    <x v="59"/>
    <n v="2023"/>
    <n v="1"/>
    <n v="3"/>
    <x v="2"/>
    <x v="1"/>
    <x v="0"/>
    <x v="2"/>
    <x v="2"/>
  </r>
  <r>
    <s v="Call_7449"/>
    <x v="5"/>
    <n v="153"/>
    <x v="2"/>
    <n v="34"/>
    <n v="3"/>
    <x v="59"/>
    <n v="2023"/>
    <n v="1"/>
    <n v="3"/>
    <x v="2"/>
    <x v="1"/>
    <x v="0"/>
    <x v="1"/>
    <x v="1"/>
  </r>
  <r>
    <s v="Call_7450"/>
    <x v="12"/>
    <n v="73"/>
    <x v="3"/>
    <n v="215"/>
    <n v="3.6"/>
    <x v="59"/>
    <n v="2023"/>
    <n v="1"/>
    <n v="3"/>
    <x v="2"/>
    <x v="1"/>
    <x v="0"/>
    <x v="0"/>
    <x v="2"/>
  </r>
  <r>
    <s v="Call_7452"/>
    <x v="4"/>
    <n v="115"/>
    <x v="1"/>
    <n v="48"/>
    <n v="4.7"/>
    <x v="60"/>
    <n v="2023"/>
    <n v="1"/>
    <n v="3"/>
    <x v="2"/>
    <x v="2"/>
    <x v="0"/>
    <x v="0"/>
    <x v="0"/>
  </r>
  <r>
    <s v="Call_7453"/>
    <x v="5"/>
    <n v="69"/>
    <x v="1"/>
    <n v="132"/>
    <n v="4.5"/>
    <x v="60"/>
    <n v="2023"/>
    <n v="1"/>
    <n v="3"/>
    <x v="2"/>
    <x v="2"/>
    <x v="0"/>
    <x v="0"/>
    <x v="2"/>
  </r>
  <r>
    <s v="Call_7454"/>
    <x v="8"/>
    <n v="103"/>
    <x v="0"/>
    <n v="172"/>
    <n v="4.3"/>
    <x v="60"/>
    <n v="2023"/>
    <n v="1"/>
    <n v="3"/>
    <x v="2"/>
    <x v="2"/>
    <x v="0"/>
    <x v="0"/>
    <x v="2"/>
  </r>
  <r>
    <s v="Call_7455"/>
    <x v="8"/>
    <n v="75"/>
    <x v="0"/>
    <n v="111"/>
    <n v="3.4"/>
    <x v="60"/>
    <n v="2023"/>
    <n v="1"/>
    <n v="3"/>
    <x v="2"/>
    <x v="2"/>
    <x v="0"/>
    <x v="0"/>
    <x v="1"/>
  </r>
  <r>
    <s v="Call_7456"/>
    <x v="7"/>
    <n v="92"/>
    <x v="0"/>
    <n v="58"/>
    <n v="3.6"/>
    <x v="60"/>
    <n v="2023"/>
    <n v="1"/>
    <n v="3"/>
    <x v="2"/>
    <x v="2"/>
    <x v="0"/>
    <x v="0"/>
    <x v="2"/>
  </r>
  <r>
    <s v="Call_7457"/>
    <x v="7"/>
    <n v="41"/>
    <x v="3"/>
    <n v="68"/>
    <n v="4"/>
    <x v="60"/>
    <n v="2023"/>
    <n v="1"/>
    <n v="3"/>
    <x v="2"/>
    <x v="2"/>
    <x v="0"/>
    <x v="2"/>
    <x v="2"/>
  </r>
  <r>
    <s v="Call_7458"/>
    <x v="8"/>
    <n v="134"/>
    <x v="2"/>
    <n v="160"/>
    <n v="4.5"/>
    <x v="60"/>
    <n v="2023"/>
    <n v="1"/>
    <n v="3"/>
    <x v="2"/>
    <x v="2"/>
    <x v="0"/>
    <x v="1"/>
    <x v="2"/>
  </r>
  <r>
    <s v="Call_7459"/>
    <x v="13"/>
    <n v="80"/>
    <x v="4"/>
    <n v="45"/>
    <n v="3"/>
    <x v="60"/>
    <n v="2023"/>
    <n v="1"/>
    <n v="3"/>
    <x v="2"/>
    <x v="2"/>
    <x v="0"/>
    <x v="0"/>
    <x v="1"/>
  </r>
  <r>
    <s v="Call_7460"/>
    <x v="14"/>
    <n v="103"/>
    <x v="1"/>
    <n v="117"/>
    <n v="3"/>
    <x v="61"/>
    <n v="2023"/>
    <n v="1"/>
    <n v="3"/>
    <x v="2"/>
    <x v="3"/>
    <x v="0"/>
    <x v="0"/>
    <x v="1"/>
  </r>
  <r>
    <s v="Call_7461"/>
    <x v="10"/>
    <n v="20"/>
    <x v="0"/>
    <n v="22"/>
    <n v="1.6"/>
    <x v="62"/>
    <n v="2023"/>
    <n v="1"/>
    <n v="3"/>
    <x v="2"/>
    <x v="4"/>
    <x v="0"/>
    <x v="3"/>
    <x v="3"/>
  </r>
  <r>
    <s v="Call_7462"/>
    <x v="14"/>
    <n v="75"/>
    <x v="4"/>
    <n v="195"/>
    <n v="3"/>
    <x v="62"/>
    <n v="2023"/>
    <n v="1"/>
    <n v="3"/>
    <x v="2"/>
    <x v="4"/>
    <x v="0"/>
    <x v="0"/>
    <x v="1"/>
  </r>
  <r>
    <s v="Call_7463"/>
    <x v="7"/>
    <n v="80"/>
    <x v="2"/>
    <n v="168"/>
    <n v="3.7"/>
    <x v="62"/>
    <n v="2023"/>
    <n v="1"/>
    <n v="3"/>
    <x v="2"/>
    <x v="4"/>
    <x v="0"/>
    <x v="0"/>
    <x v="2"/>
  </r>
  <r>
    <s v="Call_7464"/>
    <x v="5"/>
    <n v="85"/>
    <x v="3"/>
    <n v="46"/>
    <n v="4.9000000000000004"/>
    <x v="63"/>
    <n v="2023"/>
    <n v="1"/>
    <n v="3"/>
    <x v="2"/>
    <x v="5"/>
    <x v="0"/>
    <x v="0"/>
    <x v="0"/>
  </r>
  <r>
    <s v="Call_7465"/>
    <x v="1"/>
    <n v="155"/>
    <x v="0"/>
    <n v="164"/>
    <n v="3.4"/>
    <x v="63"/>
    <n v="2023"/>
    <n v="1"/>
    <n v="3"/>
    <x v="2"/>
    <x v="5"/>
    <x v="0"/>
    <x v="1"/>
    <x v="1"/>
  </r>
  <r>
    <s v="Call_7466"/>
    <x v="5"/>
    <n v="63"/>
    <x v="3"/>
    <n v="48"/>
    <n v="5"/>
    <x v="63"/>
    <n v="2023"/>
    <n v="1"/>
    <n v="3"/>
    <x v="2"/>
    <x v="5"/>
    <x v="0"/>
    <x v="0"/>
    <x v="0"/>
  </r>
  <r>
    <s v="Call_7467"/>
    <x v="2"/>
    <n v="105"/>
    <x v="1"/>
    <n v="96"/>
    <n v="5"/>
    <x v="63"/>
    <n v="2023"/>
    <n v="1"/>
    <n v="3"/>
    <x v="2"/>
    <x v="5"/>
    <x v="0"/>
    <x v="0"/>
    <x v="0"/>
  </r>
  <r>
    <s v="Call_7468"/>
    <x v="5"/>
    <n v="71"/>
    <x v="3"/>
    <n v="105"/>
    <n v="4"/>
    <x v="63"/>
    <n v="2023"/>
    <n v="1"/>
    <n v="3"/>
    <x v="2"/>
    <x v="5"/>
    <x v="0"/>
    <x v="0"/>
    <x v="2"/>
  </r>
  <r>
    <s v="Call_7469"/>
    <x v="1"/>
    <n v="100"/>
    <x v="3"/>
    <n v="44"/>
    <n v="3.6"/>
    <x v="64"/>
    <n v="2023"/>
    <n v="1"/>
    <n v="3"/>
    <x v="2"/>
    <x v="6"/>
    <x v="0"/>
    <x v="0"/>
    <x v="2"/>
  </r>
  <r>
    <s v="Call_7470"/>
    <x v="0"/>
    <n v="93"/>
    <x v="2"/>
    <n v="132"/>
    <n v="3.7"/>
    <x v="64"/>
    <n v="2023"/>
    <n v="1"/>
    <n v="3"/>
    <x v="2"/>
    <x v="6"/>
    <x v="0"/>
    <x v="0"/>
    <x v="2"/>
  </r>
  <r>
    <s v="Call_7471"/>
    <x v="2"/>
    <n v="84"/>
    <x v="0"/>
    <n v="54"/>
    <n v="4.2"/>
    <x v="64"/>
    <n v="2023"/>
    <n v="1"/>
    <n v="3"/>
    <x v="2"/>
    <x v="6"/>
    <x v="0"/>
    <x v="0"/>
    <x v="2"/>
  </r>
  <r>
    <s v="Call_7472"/>
    <x v="13"/>
    <n v="56"/>
    <x v="4"/>
    <n v="129"/>
    <n v="2.1"/>
    <x v="64"/>
    <n v="2023"/>
    <n v="1"/>
    <n v="3"/>
    <x v="2"/>
    <x v="6"/>
    <x v="0"/>
    <x v="2"/>
    <x v="3"/>
  </r>
  <r>
    <s v="Call_7473"/>
    <x v="13"/>
    <n v="63"/>
    <x v="3"/>
    <n v="42"/>
    <n v="4"/>
    <x v="64"/>
    <n v="2023"/>
    <n v="1"/>
    <n v="3"/>
    <x v="2"/>
    <x v="6"/>
    <x v="0"/>
    <x v="0"/>
    <x v="2"/>
  </r>
  <r>
    <s v="Call_7474"/>
    <x v="9"/>
    <n v="83"/>
    <x v="3"/>
    <n v="42"/>
    <n v="4.2"/>
    <x v="64"/>
    <n v="2023"/>
    <n v="1"/>
    <n v="3"/>
    <x v="2"/>
    <x v="6"/>
    <x v="0"/>
    <x v="0"/>
    <x v="2"/>
  </r>
  <r>
    <s v="Call_7475"/>
    <x v="7"/>
    <n v="134"/>
    <x v="0"/>
    <n v="180"/>
    <n v="3.1"/>
    <x v="64"/>
    <n v="2023"/>
    <n v="1"/>
    <n v="3"/>
    <x v="2"/>
    <x v="6"/>
    <x v="0"/>
    <x v="1"/>
    <x v="1"/>
  </r>
  <r>
    <s v="Call_7476"/>
    <x v="4"/>
    <n v="73"/>
    <x v="3"/>
    <n v="34"/>
    <n v="4.8"/>
    <x v="65"/>
    <n v="2023"/>
    <n v="1"/>
    <n v="3"/>
    <x v="2"/>
    <x v="0"/>
    <x v="0"/>
    <x v="0"/>
    <x v="0"/>
  </r>
  <r>
    <s v="Call_7477"/>
    <x v="14"/>
    <n v="6"/>
    <x v="4"/>
    <n v="29"/>
    <n v="4.7"/>
    <x v="65"/>
    <n v="2023"/>
    <n v="1"/>
    <n v="3"/>
    <x v="2"/>
    <x v="0"/>
    <x v="0"/>
    <x v="4"/>
    <x v="0"/>
  </r>
  <r>
    <s v="Call_7478"/>
    <x v="12"/>
    <n v="46"/>
    <x v="1"/>
    <n v="165"/>
    <n v="3.3"/>
    <x v="65"/>
    <n v="2023"/>
    <n v="1"/>
    <n v="3"/>
    <x v="2"/>
    <x v="0"/>
    <x v="0"/>
    <x v="2"/>
    <x v="1"/>
  </r>
  <r>
    <s v="Call_7479"/>
    <x v="14"/>
    <n v="121"/>
    <x v="3"/>
    <n v="32"/>
    <n v="3.7"/>
    <x v="66"/>
    <n v="2023"/>
    <n v="1"/>
    <n v="3"/>
    <x v="2"/>
    <x v="1"/>
    <x v="0"/>
    <x v="1"/>
    <x v="2"/>
  </r>
  <r>
    <s v="Call_7480"/>
    <x v="13"/>
    <n v="61"/>
    <x v="2"/>
    <n v="160"/>
    <n v="4.9000000000000004"/>
    <x v="66"/>
    <n v="2023"/>
    <n v="1"/>
    <n v="3"/>
    <x v="2"/>
    <x v="1"/>
    <x v="0"/>
    <x v="0"/>
    <x v="0"/>
  </r>
  <r>
    <s v="Call_7481"/>
    <x v="7"/>
    <n v="144"/>
    <x v="0"/>
    <n v="140"/>
    <n v="3.5"/>
    <x v="66"/>
    <n v="2023"/>
    <n v="1"/>
    <n v="3"/>
    <x v="2"/>
    <x v="1"/>
    <x v="0"/>
    <x v="1"/>
    <x v="2"/>
  </r>
  <r>
    <s v="Call_7482"/>
    <x v="12"/>
    <n v="145"/>
    <x v="0"/>
    <n v="136"/>
    <n v="4.4000000000000004"/>
    <x v="66"/>
    <n v="2023"/>
    <n v="1"/>
    <n v="3"/>
    <x v="2"/>
    <x v="1"/>
    <x v="0"/>
    <x v="1"/>
    <x v="2"/>
  </r>
  <r>
    <s v="Call_7483"/>
    <x v="2"/>
    <n v="85"/>
    <x v="4"/>
    <n v="66"/>
    <n v="2.8"/>
    <x v="66"/>
    <n v="2023"/>
    <n v="1"/>
    <n v="3"/>
    <x v="2"/>
    <x v="1"/>
    <x v="0"/>
    <x v="0"/>
    <x v="1"/>
  </r>
  <r>
    <s v="Call_7484"/>
    <x v="12"/>
    <n v="13"/>
    <x v="2"/>
    <n v="63"/>
    <n v="4.0999999999999996"/>
    <x v="67"/>
    <n v="2023"/>
    <n v="1"/>
    <n v="3"/>
    <x v="2"/>
    <x v="2"/>
    <x v="0"/>
    <x v="3"/>
    <x v="2"/>
  </r>
  <r>
    <s v="Call_7485"/>
    <x v="0"/>
    <n v="142"/>
    <x v="3"/>
    <n v="44"/>
    <n v="3.5"/>
    <x v="67"/>
    <n v="2023"/>
    <n v="1"/>
    <n v="3"/>
    <x v="2"/>
    <x v="2"/>
    <x v="0"/>
    <x v="1"/>
    <x v="2"/>
  </r>
  <r>
    <s v="Call_7486"/>
    <x v="7"/>
    <n v="28"/>
    <x v="1"/>
    <n v="78"/>
    <n v="3.8"/>
    <x v="67"/>
    <n v="2023"/>
    <n v="1"/>
    <n v="3"/>
    <x v="2"/>
    <x v="2"/>
    <x v="0"/>
    <x v="3"/>
    <x v="2"/>
  </r>
  <r>
    <s v="Call_7487"/>
    <x v="7"/>
    <n v="119"/>
    <x v="3"/>
    <n v="20"/>
    <n v="3.9"/>
    <x v="67"/>
    <n v="2023"/>
    <n v="1"/>
    <n v="3"/>
    <x v="2"/>
    <x v="2"/>
    <x v="0"/>
    <x v="0"/>
    <x v="2"/>
  </r>
  <r>
    <s v="Call_7488"/>
    <x v="14"/>
    <n v="65"/>
    <x v="4"/>
    <n v="84"/>
    <n v="2.5"/>
    <x v="67"/>
    <n v="2023"/>
    <n v="1"/>
    <n v="3"/>
    <x v="2"/>
    <x v="2"/>
    <x v="0"/>
    <x v="0"/>
    <x v="3"/>
  </r>
  <r>
    <s v="Call_7489"/>
    <x v="8"/>
    <n v="68"/>
    <x v="4"/>
    <n v="32"/>
    <n v="4.9000000000000004"/>
    <x v="67"/>
    <n v="2023"/>
    <n v="1"/>
    <n v="3"/>
    <x v="2"/>
    <x v="2"/>
    <x v="0"/>
    <x v="0"/>
    <x v="0"/>
  </r>
  <r>
    <s v="Call_7490"/>
    <x v="9"/>
    <n v="72"/>
    <x v="1"/>
    <n v="132"/>
    <n v="3.4"/>
    <x v="67"/>
    <n v="2023"/>
    <n v="1"/>
    <n v="3"/>
    <x v="2"/>
    <x v="2"/>
    <x v="0"/>
    <x v="0"/>
    <x v="1"/>
  </r>
  <r>
    <s v="Call_7491"/>
    <x v="9"/>
    <n v="63"/>
    <x v="0"/>
    <n v="105"/>
    <n v="3.3"/>
    <x v="67"/>
    <n v="2023"/>
    <n v="1"/>
    <n v="3"/>
    <x v="2"/>
    <x v="2"/>
    <x v="0"/>
    <x v="0"/>
    <x v="1"/>
  </r>
  <r>
    <s v="Call_7492"/>
    <x v="1"/>
    <n v="139"/>
    <x v="3"/>
    <n v="48"/>
    <n v="4.7"/>
    <x v="68"/>
    <n v="2023"/>
    <n v="1"/>
    <n v="3"/>
    <x v="2"/>
    <x v="3"/>
    <x v="0"/>
    <x v="1"/>
    <x v="0"/>
  </r>
  <r>
    <s v="Call_7493"/>
    <x v="7"/>
    <n v="59"/>
    <x v="3"/>
    <n v="64"/>
    <n v="4"/>
    <x v="68"/>
    <n v="2023"/>
    <n v="1"/>
    <n v="3"/>
    <x v="2"/>
    <x v="3"/>
    <x v="0"/>
    <x v="2"/>
    <x v="2"/>
  </r>
  <r>
    <s v="Call_7494"/>
    <x v="10"/>
    <n v="138"/>
    <x v="0"/>
    <n v="44"/>
    <n v="3.8"/>
    <x v="68"/>
    <n v="2023"/>
    <n v="1"/>
    <n v="3"/>
    <x v="2"/>
    <x v="3"/>
    <x v="0"/>
    <x v="1"/>
    <x v="2"/>
  </r>
  <r>
    <s v="Call_7495"/>
    <x v="1"/>
    <n v="47"/>
    <x v="1"/>
    <n v="120"/>
    <n v="3.1"/>
    <x v="68"/>
    <n v="2023"/>
    <n v="1"/>
    <n v="3"/>
    <x v="2"/>
    <x v="3"/>
    <x v="0"/>
    <x v="2"/>
    <x v="1"/>
  </r>
  <r>
    <s v="Call_7496"/>
    <x v="10"/>
    <n v="74"/>
    <x v="1"/>
    <n v="144"/>
    <n v="4.8"/>
    <x v="68"/>
    <n v="2023"/>
    <n v="1"/>
    <n v="3"/>
    <x v="2"/>
    <x v="3"/>
    <x v="0"/>
    <x v="0"/>
    <x v="0"/>
  </r>
  <r>
    <s v="Call_7497"/>
    <x v="9"/>
    <n v="65"/>
    <x v="1"/>
    <n v="87"/>
    <n v="2.7"/>
    <x v="68"/>
    <n v="2023"/>
    <n v="1"/>
    <n v="3"/>
    <x v="2"/>
    <x v="3"/>
    <x v="0"/>
    <x v="0"/>
    <x v="1"/>
  </r>
  <r>
    <s v="Call_7498"/>
    <x v="4"/>
    <n v="123"/>
    <x v="4"/>
    <n v="36"/>
    <n v="3.6"/>
    <x v="68"/>
    <n v="2023"/>
    <n v="1"/>
    <n v="3"/>
    <x v="2"/>
    <x v="3"/>
    <x v="0"/>
    <x v="1"/>
    <x v="2"/>
  </r>
  <r>
    <s v="Call_7499"/>
    <x v="9"/>
    <n v="90"/>
    <x v="3"/>
    <n v="72"/>
    <n v="4.7"/>
    <x v="69"/>
    <n v="2023"/>
    <n v="1"/>
    <n v="3"/>
    <x v="2"/>
    <x v="4"/>
    <x v="0"/>
    <x v="0"/>
    <x v="0"/>
  </r>
  <r>
    <s v="Call_7500"/>
    <x v="13"/>
    <n v="127"/>
    <x v="0"/>
    <n v="150"/>
    <n v="4.4000000000000004"/>
    <x v="69"/>
    <n v="2023"/>
    <n v="1"/>
    <n v="3"/>
    <x v="2"/>
    <x v="4"/>
    <x v="0"/>
    <x v="1"/>
    <x v="2"/>
  </r>
  <r>
    <s v="Call_7501"/>
    <x v="3"/>
    <n v="60"/>
    <x v="1"/>
    <n v="68"/>
    <n v="4.3"/>
    <x v="69"/>
    <n v="2023"/>
    <n v="1"/>
    <n v="3"/>
    <x v="2"/>
    <x v="4"/>
    <x v="0"/>
    <x v="2"/>
    <x v="2"/>
  </r>
  <r>
    <s v="Call_7502"/>
    <x v="1"/>
    <n v="94"/>
    <x v="0"/>
    <n v="99"/>
    <n v="4.9000000000000004"/>
    <x v="69"/>
    <n v="2023"/>
    <n v="1"/>
    <n v="3"/>
    <x v="2"/>
    <x v="4"/>
    <x v="0"/>
    <x v="0"/>
    <x v="0"/>
  </r>
  <r>
    <s v="Call_7503"/>
    <x v="4"/>
    <n v="54"/>
    <x v="1"/>
    <n v="26"/>
    <n v="4.8"/>
    <x v="69"/>
    <n v="2023"/>
    <n v="1"/>
    <n v="3"/>
    <x v="2"/>
    <x v="4"/>
    <x v="0"/>
    <x v="2"/>
    <x v="0"/>
  </r>
  <r>
    <s v="Call_7504"/>
    <x v="9"/>
    <n v="104"/>
    <x v="1"/>
    <n v="88"/>
    <n v="3.2"/>
    <x v="69"/>
    <n v="2023"/>
    <n v="1"/>
    <n v="3"/>
    <x v="2"/>
    <x v="4"/>
    <x v="0"/>
    <x v="0"/>
    <x v="1"/>
  </r>
  <r>
    <s v="Call_7505"/>
    <x v="5"/>
    <n v="100"/>
    <x v="1"/>
    <n v="124"/>
    <n v="3.4"/>
    <x v="69"/>
    <n v="2023"/>
    <n v="1"/>
    <n v="3"/>
    <x v="2"/>
    <x v="4"/>
    <x v="0"/>
    <x v="0"/>
    <x v="1"/>
  </r>
  <r>
    <s v="Call_7506"/>
    <x v="10"/>
    <n v="84"/>
    <x v="1"/>
    <n v="72"/>
    <n v="3.5"/>
    <x v="69"/>
    <n v="2023"/>
    <n v="1"/>
    <n v="3"/>
    <x v="2"/>
    <x v="4"/>
    <x v="0"/>
    <x v="0"/>
    <x v="2"/>
  </r>
  <r>
    <s v="Call_7507"/>
    <x v="0"/>
    <n v="92"/>
    <x v="2"/>
    <n v="125"/>
    <n v="4.9000000000000004"/>
    <x v="70"/>
    <n v="2023"/>
    <n v="1"/>
    <n v="3"/>
    <x v="2"/>
    <x v="5"/>
    <x v="0"/>
    <x v="0"/>
    <x v="0"/>
  </r>
  <r>
    <s v="Call_7508"/>
    <x v="6"/>
    <n v="64"/>
    <x v="0"/>
    <n v="22"/>
    <n v="4.0999999999999996"/>
    <x v="70"/>
    <n v="2023"/>
    <n v="1"/>
    <n v="3"/>
    <x v="2"/>
    <x v="5"/>
    <x v="0"/>
    <x v="0"/>
    <x v="2"/>
  </r>
  <r>
    <s v="Call_7509"/>
    <x v="2"/>
    <n v="89"/>
    <x v="3"/>
    <n v="70"/>
    <n v="4.9000000000000004"/>
    <x v="71"/>
    <n v="2023"/>
    <n v="1"/>
    <n v="3"/>
    <x v="2"/>
    <x v="6"/>
    <x v="0"/>
    <x v="0"/>
    <x v="0"/>
  </r>
  <r>
    <s v="Call_7510"/>
    <x v="11"/>
    <n v="40"/>
    <x v="1"/>
    <n v="24"/>
    <n v="4.3"/>
    <x v="71"/>
    <n v="2023"/>
    <n v="1"/>
    <n v="3"/>
    <x v="2"/>
    <x v="6"/>
    <x v="0"/>
    <x v="2"/>
    <x v="2"/>
  </r>
  <r>
    <s v="Call_7511"/>
    <x v="7"/>
    <n v="75"/>
    <x v="4"/>
    <n v="32"/>
    <n v="4.0999999999999996"/>
    <x v="71"/>
    <n v="2023"/>
    <n v="1"/>
    <n v="3"/>
    <x v="2"/>
    <x v="6"/>
    <x v="0"/>
    <x v="0"/>
    <x v="2"/>
  </r>
  <r>
    <s v="Call_7512"/>
    <x v="13"/>
    <n v="106"/>
    <x v="2"/>
    <n v="112"/>
    <n v="4.4000000000000004"/>
    <x v="71"/>
    <n v="2023"/>
    <n v="1"/>
    <n v="3"/>
    <x v="2"/>
    <x v="6"/>
    <x v="0"/>
    <x v="0"/>
    <x v="2"/>
  </r>
  <r>
    <s v="Call_7513"/>
    <x v="6"/>
    <n v="58"/>
    <x v="1"/>
    <n v="43"/>
    <n v="4.5"/>
    <x v="72"/>
    <n v="2023"/>
    <n v="1"/>
    <n v="3"/>
    <x v="2"/>
    <x v="0"/>
    <x v="0"/>
    <x v="2"/>
    <x v="2"/>
  </r>
  <r>
    <s v="Call_7514"/>
    <x v="10"/>
    <n v="84"/>
    <x v="2"/>
    <n v="22"/>
    <n v="3.5"/>
    <x v="72"/>
    <n v="2023"/>
    <n v="1"/>
    <n v="3"/>
    <x v="2"/>
    <x v="0"/>
    <x v="0"/>
    <x v="0"/>
    <x v="2"/>
  </r>
  <r>
    <s v="Call_7515"/>
    <x v="9"/>
    <n v="140"/>
    <x v="2"/>
    <n v="93"/>
    <n v="4.4000000000000004"/>
    <x v="72"/>
    <n v="2023"/>
    <n v="1"/>
    <n v="3"/>
    <x v="2"/>
    <x v="0"/>
    <x v="0"/>
    <x v="1"/>
    <x v="2"/>
  </r>
  <r>
    <s v="Call_7516"/>
    <x v="6"/>
    <n v="67"/>
    <x v="2"/>
    <n v="45"/>
    <n v="3.5"/>
    <x v="72"/>
    <n v="2023"/>
    <n v="1"/>
    <n v="3"/>
    <x v="2"/>
    <x v="0"/>
    <x v="0"/>
    <x v="0"/>
    <x v="2"/>
  </r>
  <r>
    <s v="Call_7517"/>
    <x v="1"/>
    <n v="126"/>
    <x v="2"/>
    <n v="96"/>
    <n v="3.8"/>
    <x v="73"/>
    <n v="2023"/>
    <n v="1"/>
    <n v="3"/>
    <x v="2"/>
    <x v="1"/>
    <x v="0"/>
    <x v="1"/>
    <x v="2"/>
  </r>
  <r>
    <s v="Call_7518"/>
    <x v="1"/>
    <n v="89"/>
    <x v="1"/>
    <n v="96"/>
    <n v="3.3"/>
    <x v="73"/>
    <n v="2023"/>
    <n v="1"/>
    <n v="3"/>
    <x v="2"/>
    <x v="1"/>
    <x v="0"/>
    <x v="0"/>
    <x v="1"/>
  </r>
  <r>
    <s v="Call_7519"/>
    <x v="2"/>
    <n v="56"/>
    <x v="0"/>
    <n v="31"/>
    <n v="4.4000000000000004"/>
    <x v="73"/>
    <n v="2023"/>
    <n v="1"/>
    <n v="3"/>
    <x v="2"/>
    <x v="1"/>
    <x v="0"/>
    <x v="2"/>
    <x v="2"/>
  </r>
  <r>
    <s v="Call_7520"/>
    <x v="4"/>
    <n v="48"/>
    <x v="1"/>
    <n v="200"/>
    <n v="3.9"/>
    <x v="73"/>
    <n v="2023"/>
    <n v="1"/>
    <n v="3"/>
    <x v="2"/>
    <x v="1"/>
    <x v="0"/>
    <x v="2"/>
    <x v="2"/>
  </r>
  <r>
    <s v="Call_7521"/>
    <x v="1"/>
    <n v="55"/>
    <x v="0"/>
    <n v="99"/>
    <n v="2.7"/>
    <x v="73"/>
    <n v="2023"/>
    <n v="1"/>
    <n v="3"/>
    <x v="2"/>
    <x v="1"/>
    <x v="0"/>
    <x v="2"/>
    <x v="1"/>
  </r>
  <r>
    <s v="Call_7522"/>
    <x v="3"/>
    <n v="88"/>
    <x v="4"/>
    <n v="144"/>
    <n v="2.9"/>
    <x v="73"/>
    <n v="2023"/>
    <n v="1"/>
    <n v="3"/>
    <x v="2"/>
    <x v="1"/>
    <x v="0"/>
    <x v="0"/>
    <x v="1"/>
  </r>
  <r>
    <s v="Call_7523"/>
    <x v="2"/>
    <n v="102"/>
    <x v="2"/>
    <n v="81"/>
    <n v="4"/>
    <x v="74"/>
    <n v="2023"/>
    <n v="1"/>
    <n v="3"/>
    <x v="2"/>
    <x v="2"/>
    <x v="0"/>
    <x v="0"/>
    <x v="2"/>
  </r>
  <r>
    <s v="Call_7524"/>
    <x v="3"/>
    <n v="155"/>
    <x v="4"/>
    <n v="70"/>
    <n v="4.4000000000000004"/>
    <x v="74"/>
    <n v="2023"/>
    <n v="1"/>
    <n v="3"/>
    <x v="2"/>
    <x v="2"/>
    <x v="0"/>
    <x v="1"/>
    <x v="2"/>
  </r>
  <r>
    <s v="Call_7525"/>
    <x v="1"/>
    <n v="63"/>
    <x v="4"/>
    <n v="148"/>
    <n v="5"/>
    <x v="74"/>
    <n v="2023"/>
    <n v="1"/>
    <n v="3"/>
    <x v="2"/>
    <x v="2"/>
    <x v="0"/>
    <x v="0"/>
    <x v="0"/>
  </r>
  <r>
    <s v="Call_7526"/>
    <x v="5"/>
    <n v="59"/>
    <x v="2"/>
    <n v="215"/>
    <n v="4.0999999999999996"/>
    <x v="74"/>
    <n v="2023"/>
    <n v="1"/>
    <n v="3"/>
    <x v="2"/>
    <x v="2"/>
    <x v="0"/>
    <x v="2"/>
    <x v="2"/>
  </r>
  <r>
    <s v="Call_7527"/>
    <x v="5"/>
    <n v="144"/>
    <x v="1"/>
    <n v="124"/>
    <n v="4.4000000000000004"/>
    <x v="74"/>
    <n v="2023"/>
    <n v="1"/>
    <n v="3"/>
    <x v="2"/>
    <x v="2"/>
    <x v="0"/>
    <x v="1"/>
    <x v="2"/>
  </r>
  <r>
    <s v="Call_7528"/>
    <x v="10"/>
    <n v="113"/>
    <x v="3"/>
    <n v="168"/>
    <n v="4.0999999999999996"/>
    <x v="74"/>
    <n v="2023"/>
    <n v="1"/>
    <n v="3"/>
    <x v="2"/>
    <x v="2"/>
    <x v="0"/>
    <x v="0"/>
    <x v="2"/>
  </r>
  <r>
    <s v="Call_7529"/>
    <x v="12"/>
    <n v="154"/>
    <x v="0"/>
    <n v="90"/>
    <n v="4.5"/>
    <x v="74"/>
    <n v="2023"/>
    <n v="1"/>
    <n v="3"/>
    <x v="2"/>
    <x v="2"/>
    <x v="0"/>
    <x v="1"/>
    <x v="2"/>
  </r>
  <r>
    <s v="Call_7530"/>
    <x v="12"/>
    <n v="58"/>
    <x v="2"/>
    <n v="176"/>
    <n v="4.2"/>
    <x v="75"/>
    <n v="2023"/>
    <n v="1"/>
    <n v="3"/>
    <x v="2"/>
    <x v="3"/>
    <x v="0"/>
    <x v="2"/>
    <x v="2"/>
  </r>
  <r>
    <s v="Call_7531"/>
    <x v="4"/>
    <n v="63"/>
    <x v="4"/>
    <n v="87"/>
    <n v="4.5999999999999996"/>
    <x v="75"/>
    <n v="2023"/>
    <n v="1"/>
    <n v="3"/>
    <x v="2"/>
    <x v="3"/>
    <x v="0"/>
    <x v="0"/>
    <x v="0"/>
  </r>
  <r>
    <s v="Call_7532"/>
    <x v="9"/>
    <n v="59"/>
    <x v="1"/>
    <n v="128"/>
    <n v="4.5"/>
    <x v="75"/>
    <n v="2023"/>
    <n v="1"/>
    <n v="3"/>
    <x v="2"/>
    <x v="3"/>
    <x v="0"/>
    <x v="2"/>
    <x v="2"/>
  </r>
  <r>
    <s v="Call_7533"/>
    <x v="14"/>
    <n v="129"/>
    <x v="4"/>
    <n v="120"/>
    <n v="4.0999999999999996"/>
    <x v="75"/>
    <n v="2023"/>
    <n v="1"/>
    <n v="3"/>
    <x v="2"/>
    <x v="3"/>
    <x v="0"/>
    <x v="1"/>
    <x v="2"/>
  </r>
  <r>
    <s v="Call_7534"/>
    <x v="8"/>
    <n v="101"/>
    <x v="3"/>
    <n v="130"/>
    <n v="4.8"/>
    <x v="75"/>
    <n v="2023"/>
    <n v="1"/>
    <n v="3"/>
    <x v="2"/>
    <x v="3"/>
    <x v="0"/>
    <x v="0"/>
    <x v="0"/>
  </r>
  <r>
    <s v="Call_7535"/>
    <x v="11"/>
    <n v="154"/>
    <x v="1"/>
    <n v="172"/>
    <n v="3.1"/>
    <x v="75"/>
    <n v="2023"/>
    <n v="1"/>
    <n v="3"/>
    <x v="2"/>
    <x v="3"/>
    <x v="0"/>
    <x v="1"/>
    <x v="1"/>
  </r>
  <r>
    <s v="Call_7536"/>
    <x v="6"/>
    <n v="131"/>
    <x v="1"/>
    <n v="58"/>
    <n v="4.9000000000000004"/>
    <x v="75"/>
    <n v="2023"/>
    <n v="1"/>
    <n v="3"/>
    <x v="2"/>
    <x v="3"/>
    <x v="0"/>
    <x v="1"/>
    <x v="0"/>
  </r>
  <r>
    <s v="Call_7537"/>
    <x v="5"/>
    <n v="111"/>
    <x v="3"/>
    <n v="86"/>
    <n v="4.0999999999999996"/>
    <x v="76"/>
    <n v="2023"/>
    <n v="1"/>
    <n v="3"/>
    <x v="2"/>
    <x v="4"/>
    <x v="0"/>
    <x v="0"/>
    <x v="2"/>
  </r>
  <r>
    <s v="Call_7538"/>
    <x v="12"/>
    <n v="142"/>
    <x v="3"/>
    <n v="31"/>
    <n v="4.4000000000000004"/>
    <x v="77"/>
    <n v="2023"/>
    <n v="1"/>
    <n v="3"/>
    <x v="2"/>
    <x v="5"/>
    <x v="0"/>
    <x v="1"/>
    <x v="2"/>
  </r>
  <r>
    <s v="Call_7539"/>
    <x v="2"/>
    <n v="93"/>
    <x v="4"/>
    <n v="72"/>
    <n v="4.4000000000000004"/>
    <x v="77"/>
    <n v="2023"/>
    <n v="1"/>
    <n v="3"/>
    <x v="2"/>
    <x v="5"/>
    <x v="0"/>
    <x v="0"/>
    <x v="2"/>
  </r>
  <r>
    <s v="Call_7540"/>
    <x v="12"/>
    <n v="125"/>
    <x v="0"/>
    <n v="27"/>
    <n v="3"/>
    <x v="78"/>
    <n v="2023"/>
    <n v="1"/>
    <n v="3"/>
    <x v="2"/>
    <x v="6"/>
    <x v="0"/>
    <x v="1"/>
    <x v="1"/>
  </r>
  <r>
    <s v="Call_7541"/>
    <x v="14"/>
    <n v="76"/>
    <x v="1"/>
    <n v="110"/>
    <n v="4.4000000000000004"/>
    <x v="78"/>
    <n v="2023"/>
    <n v="1"/>
    <n v="3"/>
    <x v="2"/>
    <x v="6"/>
    <x v="0"/>
    <x v="0"/>
    <x v="2"/>
  </r>
  <r>
    <s v="Call_7542"/>
    <x v="10"/>
    <n v="69"/>
    <x v="4"/>
    <n v="126"/>
    <n v="3.7"/>
    <x v="78"/>
    <n v="2023"/>
    <n v="1"/>
    <n v="3"/>
    <x v="2"/>
    <x v="6"/>
    <x v="0"/>
    <x v="0"/>
    <x v="2"/>
  </r>
  <r>
    <s v="Call_7543"/>
    <x v="9"/>
    <n v="149"/>
    <x v="0"/>
    <n v="60"/>
    <n v="3.9"/>
    <x v="78"/>
    <n v="2023"/>
    <n v="1"/>
    <n v="3"/>
    <x v="2"/>
    <x v="6"/>
    <x v="0"/>
    <x v="1"/>
    <x v="2"/>
  </r>
  <r>
    <s v="Call_7544"/>
    <x v="12"/>
    <n v="57"/>
    <x v="4"/>
    <n v="35"/>
    <n v="3.5"/>
    <x v="78"/>
    <n v="2023"/>
    <n v="1"/>
    <n v="3"/>
    <x v="2"/>
    <x v="6"/>
    <x v="0"/>
    <x v="2"/>
    <x v="2"/>
  </r>
  <r>
    <s v="Call_7545"/>
    <x v="1"/>
    <n v="113"/>
    <x v="1"/>
    <n v="81"/>
    <n v="3.5"/>
    <x v="78"/>
    <n v="2023"/>
    <n v="1"/>
    <n v="3"/>
    <x v="2"/>
    <x v="6"/>
    <x v="0"/>
    <x v="0"/>
    <x v="2"/>
  </r>
  <r>
    <s v="Call_7546"/>
    <x v="0"/>
    <n v="160"/>
    <x v="0"/>
    <n v="116"/>
    <n v="3.4"/>
    <x v="78"/>
    <n v="2023"/>
    <n v="1"/>
    <n v="3"/>
    <x v="2"/>
    <x v="6"/>
    <x v="0"/>
    <x v="1"/>
    <x v="1"/>
  </r>
  <r>
    <s v="Call_7547"/>
    <x v="4"/>
    <n v="158"/>
    <x v="2"/>
    <n v="60"/>
    <n v="4.5"/>
    <x v="78"/>
    <n v="2023"/>
    <n v="1"/>
    <n v="3"/>
    <x v="2"/>
    <x v="6"/>
    <x v="0"/>
    <x v="1"/>
    <x v="2"/>
  </r>
  <r>
    <s v="Call_7548"/>
    <x v="10"/>
    <n v="77"/>
    <x v="0"/>
    <n v="130"/>
    <n v="4.2"/>
    <x v="79"/>
    <n v="2023"/>
    <n v="1"/>
    <n v="3"/>
    <x v="2"/>
    <x v="0"/>
    <x v="0"/>
    <x v="0"/>
    <x v="2"/>
  </r>
  <r>
    <s v="Call_7549"/>
    <x v="7"/>
    <n v="118"/>
    <x v="3"/>
    <n v="99"/>
    <n v="5"/>
    <x v="79"/>
    <n v="2023"/>
    <n v="1"/>
    <n v="3"/>
    <x v="2"/>
    <x v="0"/>
    <x v="0"/>
    <x v="0"/>
    <x v="0"/>
  </r>
  <r>
    <s v="Call_7550"/>
    <x v="11"/>
    <n v="75"/>
    <x v="1"/>
    <n v="135"/>
    <n v="4.7"/>
    <x v="79"/>
    <n v="2023"/>
    <n v="1"/>
    <n v="3"/>
    <x v="2"/>
    <x v="0"/>
    <x v="0"/>
    <x v="0"/>
    <x v="0"/>
  </r>
  <r>
    <s v="Call_7551"/>
    <x v="1"/>
    <n v="103"/>
    <x v="0"/>
    <n v="42"/>
    <n v="2.8"/>
    <x v="79"/>
    <n v="2023"/>
    <n v="1"/>
    <n v="3"/>
    <x v="2"/>
    <x v="0"/>
    <x v="0"/>
    <x v="0"/>
    <x v="1"/>
  </r>
  <r>
    <s v="Call_7552"/>
    <x v="10"/>
    <n v="116"/>
    <x v="3"/>
    <n v="63"/>
    <n v="3.4"/>
    <x v="80"/>
    <n v="2023"/>
    <n v="1"/>
    <n v="3"/>
    <x v="2"/>
    <x v="1"/>
    <x v="0"/>
    <x v="0"/>
    <x v="1"/>
  </r>
  <r>
    <s v="Call_7553"/>
    <x v="5"/>
    <n v="61"/>
    <x v="2"/>
    <n v="140"/>
    <n v="1.8"/>
    <x v="80"/>
    <n v="2023"/>
    <n v="1"/>
    <n v="3"/>
    <x v="2"/>
    <x v="1"/>
    <x v="0"/>
    <x v="0"/>
    <x v="3"/>
  </r>
  <r>
    <s v="Call_7554"/>
    <x v="12"/>
    <n v="126"/>
    <x v="1"/>
    <n v="128"/>
    <n v="4.2"/>
    <x v="80"/>
    <n v="2023"/>
    <n v="1"/>
    <n v="3"/>
    <x v="2"/>
    <x v="1"/>
    <x v="0"/>
    <x v="1"/>
    <x v="2"/>
  </r>
  <r>
    <s v="Call_7555"/>
    <x v="8"/>
    <n v="141"/>
    <x v="4"/>
    <n v="80"/>
    <n v="4.4000000000000004"/>
    <x v="80"/>
    <n v="2023"/>
    <n v="1"/>
    <n v="3"/>
    <x v="2"/>
    <x v="1"/>
    <x v="0"/>
    <x v="1"/>
    <x v="2"/>
  </r>
  <r>
    <s v="Call_7556"/>
    <x v="4"/>
    <n v="95"/>
    <x v="3"/>
    <n v="28"/>
    <n v="2.7"/>
    <x v="80"/>
    <n v="2023"/>
    <n v="1"/>
    <n v="3"/>
    <x v="2"/>
    <x v="1"/>
    <x v="0"/>
    <x v="0"/>
    <x v="1"/>
  </r>
  <r>
    <s v="Call_7557"/>
    <x v="11"/>
    <n v="39"/>
    <x v="2"/>
    <n v="81"/>
    <n v="5"/>
    <x v="81"/>
    <n v="2023"/>
    <n v="1"/>
    <n v="3"/>
    <x v="2"/>
    <x v="2"/>
    <x v="0"/>
    <x v="2"/>
    <x v="0"/>
  </r>
  <r>
    <s v="Call_7558"/>
    <x v="1"/>
    <n v="127"/>
    <x v="1"/>
    <n v="99"/>
    <n v="3.9"/>
    <x v="81"/>
    <n v="2023"/>
    <n v="1"/>
    <n v="3"/>
    <x v="2"/>
    <x v="2"/>
    <x v="0"/>
    <x v="1"/>
    <x v="2"/>
  </r>
  <r>
    <s v="Call_7559"/>
    <x v="5"/>
    <n v="78"/>
    <x v="1"/>
    <n v="43"/>
    <n v="3.8"/>
    <x v="81"/>
    <n v="2023"/>
    <n v="1"/>
    <n v="3"/>
    <x v="2"/>
    <x v="2"/>
    <x v="0"/>
    <x v="0"/>
    <x v="2"/>
  </r>
  <r>
    <s v="Call_7560"/>
    <x v="7"/>
    <n v="40"/>
    <x v="1"/>
    <n v="34"/>
    <n v="4.5999999999999996"/>
    <x v="81"/>
    <n v="2023"/>
    <n v="1"/>
    <n v="3"/>
    <x v="2"/>
    <x v="2"/>
    <x v="0"/>
    <x v="2"/>
    <x v="0"/>
  </r>
  <r>
    <s v="Call_7561"/>
    <x v="5"/>
    <n v="56"/>
    <x v="2"/>
    <n v="225"/>
    <n v="4.5999999999999996"/>
    <x v="81"/>
    <n v="2023"/>
    <n v="1"/>
    <n v="3"/>
    <x v="2"/>
    <x v="2"/>
    <x v="0"/>
    <x v="2"/>
    <x v="0"/>
  </r>
  <r>
    <s v="Call_7562"/>
    <x v="11"/>
    <n v="59"/>
    <x v="4"/>
    <n v="210"/>
    <n v="4.5"/>
    <x v="81"/>
    <n v="2023"/>
    <n v="1"/>
    <n v="3"/>
    <x v="2"/>
    <x v="2"/>
    <x v="0"/>
    <x v="2"/>
    <x v="2"/>
  </r>
  <r>
    <s v="Call_7563"/>
    <x v="12"/>
    <n v="30"/>
    <x v="1"/>
    <n v="168"/>
    <n v="4.2"/>
    <x v="81"/>
    <n v="2023"/>
    <n v="1"/>
    <n v="3"/>
    <x v="2"/>
    <x v="2"/>
    <x v="0"/>
    <x v="3"/>
    <x v="2"/>
  </r>
  <r>
    <s v="Call_7564"/>
    <x v="7"/>
    <n v="63"/>
    <x v="0"/>
    <n v="82"/>
    <n v="4.5"/>
    <x v="82"/>
    <n v="2023"/>
    <n v="1"/>
    <n v="3"/>
    <x v="2"/>
    <x v="3"/>
    <x v="0"/>
    <x v="0"/>
    <x v="2"/>
  </r>
  <r>
    <s v="Call_7565"/>
    <x v="2"/>
    <n v="56"/>
    <x v="3"/>
    <n v="88"/>
    <n v="4.0999999999999996"/>
    <x v="82"/>
    <n v="2023"/>
    <n v="1"/>
    <n v="3"/>
    <x v="2"/>
    <x v="3"/>
    <x v="0"/>
    <x v="2"/>
    <x v="2"/>
  </r>
  <r>
    <s v="Call_7566"/>
    <x v="14"/>
    <n v="95"/>
    <x v="0"/>
    <n v="111"/>
    <n v="3.3"/>
    <x v="82"/>
    <n v="2023"/>
    <n v="1"/>
    <n v="3"/>
    <x v="2"/>
    <x v="3"/>
    <x v="0"/>
    <x v="0"/>
    <x v="1"/>
  </r>
  <r>
    <s v="Call_7567"/>
    <x v="13"/>
    <n v="128"/>
    <x v="4"/>
    <n v="60"/>
    <n v="3.8"/>
    <x v="82"/>
    <n v="2023"/>
    <n v="1"/>
    <n v="3"/>
    <x v="2"/>
    <x v="3"/>
    <x v="0"/>
    <x v="1"/>
    <x v="2"/>
  </r>
  <r>
    <s v="Call_7568"/>
    <x v="4"/>
    <n v="49"/>
    <x v="0"/>
    <n v="80"/>
    <n v="3"/>
    <x v="82"/>
    <n v="2023"/>
    <n v="1"/>
    <n v="3"/>
    <x v="2"/>
    <x v="3"/>
    <x v="0"/>
    <x v="2"/>
    <x v="1"/>
  </r>
  <r>
    <s v="Call_7569"/>
    <x v="13"/>
    <n v="89"/>
    <x v="2"/>
    <n v="90"/>
    <n v="4.5999999999999996"/>
    <x v="83"/>
    <n v="2023"/>
    <n v="1"/>
    <n v="3"/>
    <x v="2"/>
    <x v="5"/>
    <x v="0"/>
    <x v="0"/>
    <x v="0"/>
  </r>
  <r>
    <s v="Call_7570"/>
    <x v="9"/>
    <n v="87"/>
    <x v="0"/>
    <n v="225"/>
    <n v="2.9"/>
    <x v="83"/>
    <n v="2023"/>
    <n v="1"/>
    <n v="3"/>
    <x v="2"/>
    <x v="5"/>
    <x v="0"/>
    <x v="0"/>
    <x v="1"/>
  </r>
  <r>
    <s v="Call_7571"/>
    <x v="0"/>
    <n v="60"/>
    <x v="1"/>
    <n v="215"/>
    <n v="3.2"/>
    <x v="84"/>
    <n v="2023"/>
    <n v="2"/>
    <n v="4"/>
    <x v="3"/>
    <x v="6"/>
    <x v="0"/>
    <x v="2"/>
    <x v="1"/>
  </r>
  <r>
    <s v="Call_7572"/>
    <x v="3"/>
    <n v="42"/>
    <x v="2"/>
    <n v="45"/>
    <n v="1.5"/>
    <x v="84"/>
    <n v="2023"/>
    <n v="2"/>
    <n v="4"/>
    <x v="3"/>
    <x v="6"/>
    <x v="0"/>
    <x v="2"/>
    <x v="3"/>
  </r>
  <r>
    <s v="Call_7573"/>
    <x v="6"/>
    <n v="99"/>
    <x v="1"/>
    <n v="74"/>
    <n v="4"/>
    <x v="84"/>
    <n v="2023"/>
    <n v="2"/>
    <n v="4"/>
    <x v="3"/>
    <x v="6"/>
    <x v="0"/>
    <x v="0"/>
    <x v="2"/>
  </r>
  <r>
    <s v="Call_7574"/>
    <x v="2"/>
    <n v="20"/>
    <x v="2"/>
    <n v="60"/>
    <n v="3.6"/>
    <x v="84"/>
    <n v="2023"/>
    <n v="2"/>
    <n v="4"/>
    <x v="3"/>
    <x v="6"/>
    <x v="0"/>
    <x v="3"/>
    <x v="2"/>
  </r>
  <r>
    <s v="Call_7575"/>
    <x v="7"/>
    <n v="65"/>
    <x v="1"/>
    <n v="64"/>
    <n v="3.7"/>
    <x v="84"/>
    <n v="2023"/>
    <n v="2"/>
    <n v="4"/>
    <x v="3"/>
    <x v="6"/>
    <x v="0"/>
    <x v="0"/>
    <x v="2"/>
  </r>
  <r>
    <s v="Call_7576"/>
    <x v="12"/>
    <n v="71"/>
    <x v="0"/>
    <n v="110"/>
    <n v="4.8"/>
    <x v="85"/>
    <n v="2023"/>
    <n v="2"/>
    <n v="4"/>
    <x v="3"/>
    <x v="0"/>
    <x v="0"/>
    <x v="0"/>
    <x v="0"/>
  </r>
  <r>
    <s v="Call_7577"/>
    <x v="1"/>
    <n v="95"/>
    <x v="4"/>
    <n v="52"/>
    <n v="1.2"/>
    <x v="85"/>
    <n v="2023"/>
    <n v="2"/>
    <n v="4"/>
    <x v="3"/>
    <x v="0"/>
    <x v="0"/>
    <x v="0"/>
    <x v="4"/>
  </r>
  <r>
    <s v="Call_7578"/>
    <x v="2"/>
    <n v="81"/>
    <x v="3"/>
    <n v="160"/>
    <n v="4.7"/>
    <x v="86"/>
    <n v="2023"/>
    <n v="2"/>
    <n v="4"/>
    <x v="3"/>
    <x v="1"/>
    <x v="0"/>
    <x v="0"/>
    <x v="0"/>
  </r>
  <r>
    <s v="Call_7579"/>
    <x v="10"/>
    <n v="137"/>
    <x v="3"/>
    <n v="215"/>
    <n v="4.7"/>
    <x v="86"/>
    <n v="2023"/>
    <n v="2"/>
    <n v="4"/>
    <x v="3"/>
    <x v="1"/>
    <x v="0"/>
    <x v="1"/>
    <x v="0"/>
  </r>
  <r>
    <s v="Call_7580"/>
    <x v="10"/>
    <n v="40"/>
    <x v="4"/>
    <n v="220"/>
    <n v="4.5"/>
    <x v="86"/>
    <n v="2023"/>
    <n v="2"/>
    <n v="4"/>
    <x v="3"/>
    <x v="1"/>
    <x v="0"/>
    <x v="2"/>
    <x v="2"/>
  </r>
  <r>
    <s v="Call_7581"/>
    <x v="6"/>
    <n v="111"/>
    <x v="1"/>
    <n v="175"/>
    <n v="3.5"/>
    <x v="87"/>
    <n v="2023"/>
    <n v="2"/>
    <n v="4"/>
    <x v="3"/>
    <x v="2"/>
    <x v="0"/>
    <x v="0"/>
    <x v="2"/>
  </r>
  <r>
    <s v="Call_7582"/>
    <x v="12"/>
    <n v="106"/>
    <x v="1"/>
    <n v="145"/>
    <n v="4.0999999999999996"/>
    <x v="87"/>
    <n v="2023"/>
    <n v="2"/>
    <n v="4"/>
    <x v="3"/>
    <x v="2"/>
    <x v="0"/>
    <x v="0"/>
    <x v="2"/>
  </r>
  <r>
    <s v="Call_7583"/>
    <x v="3"/>
    <n v="133"/>
    <x v="2"/>
    <n v="72"/>
    <n v="4.4000000000000004"/>
    <x v="87"/>
    <n v="2023"/>
    <n v="2"/>
    <n v="4"/>
    <x v="3"/>
    <x v="2"/>
    <x v="0"/>
    <x v="1"/>
    <x v="2"/>
  </r>
  <r>
    <s v="Call_7584"/>
    <x v="5"/>
    <n v="38"/>
    <x v="1"/>
    <n v="81"/>
    <n v="3.6"/>
    <x v="88"/>
    <n v="2023"/>
    <n v="2"/>
    <n v="4"/>
    <x v="3"/>
    <x v="3"/>
    <x v="0"/>
    <x v="2"/>
    <x v="2"/>
  </r>
  <r>
    <s v="Call_7585"/>
    <x v="11"/>
    <n v="130"/>
    <x v="4"/>
    <n v="54"/>
    <n v="4.0999999999999996"/>
    <x v="88"/>
    <n v="2023"/>
    <n v="2"/>
    <n v="4"/>
    <x v="3"/>
    <x v="3"/>
    <x v="0"/>
    <x v="1"/>
    <x v="2"/>
  </r>
  <r>
    <s v="Call_7586"/>
    <x v="7"/>
    <n v="23"/>
    <x v="2"/>
    <n v="105"/>
    <n v="4.8"/>
    <x v="88"/>
    <n v="2023"/>
    <n v="2"/>
    <n v="4"/>
    <x v="3"/>
    <x v="3"/>
    <x v="0"/>
    <x v="3"/>
    <x v="0"/>
  </r>
  <r>
    <s v="Call_7587"/>
    <x v="11"/>
    <n v="124"/>
    <x v="1"/>
    <n v="176"/>
    <n v="3.9"/>
    <x v="89"/>
    <n v="2023"/>
    <n v="2"/>
    <n v="4"/>
    <x v="3"/>
    <x v="4"/>
    <x v="0"/>
    <x v="1"/>
    <x v="2"/>
  </r>
  <r>
    <s v="Call_7588"/>
    <x v="2"/>
    <n v="107"/>
    <x v="1"/>
    <n v="115"/>
    <n v="3.8"/>
    <x v="89"/>
    <n v="2023"/>
    <n v="2"/>
    <n v="4"/>
    <x v="3"/>
    <x v="4"/>
    <x v="0"/>
    <x v="0"/>
    <x v="2"/>
  </r>
  <r>
    <s v="Call_7589"/>
    <x v="10"/>
    <n v="60"/>
    <x v="0"/>
    <n v="116"/>
    <n v="3.9"/>
    <x v="89"/>
    <n v="2023"/>
    <n v="2"/>
    <n v="4"/>
    <x v="3"/>
    <x v="4"/>
    <x v="0"/>
    <x v="2"/>
    <x v="2"/>
  </r>
  <r>
    <s v="Call_7590"/>
    <x v="10"/>
    <n v="158"/>
    <x v="4"/>
    <n v="100"/>
    <n v="4.0999999999999996"/>
    <x v="89"/>
    <n v="2023"/>
    <n v="2"/>
    <n v="4"/>
    <x v="3"/>
    <x v="4"/>
    <x v="0"/>
    <x v="1"/>
    <x v="2"/>
  </r>
  <r>
    <s v="Call_7591"/>
    <x v="9"/>
    <n v="110"/>
    <x v="4"/>
    <n v="36"/>
    <n v="2.2000000000000002"/>
    <x v="90"/>
    <n v="2023"/>
    <n v="2"/>
    <n v="4"/>
    <x v="3"/>
    <x v="5"/>
    <x v="0"/>
    <x v="0"/>
    <x v="3"/>
  </r>
  <r>
    <s v="Call_7592"/>
    <x v="13"/>
    <n v="70"/>
    <x v="4"/>
    <n v="114"/>
    <n v="5"/>
    <x v="90"/>
    <n v="2023"/>
    <n v="2"/>
    <n v="4"/>
    <x v="3"/>
    <x v="5"/>
    <x v="0"/>
    <x v="0"/>
    <x v="0"/>
  </r>
  <r>
    <s v="Call_7593"/>
    <x v="13"/>
    <n v="150"/>
    <x v="0"/>
    <n v="24"/>
    <n v="3.8"/>
    <x v="90"/>
    <n v="2023"/>
    <n v="2"/>
    <n v="4"/>
    <x v="3"/>
    <x v="5"/>
    <x v="0"/>
    <x v="1"/>
    <x v="2"/>
  </r>
  <r>
    <s v="Call_7594"/>
    <x v="5"/>
    <n v="36"/>
    <x v="1"/>
    <n v="135"/>
    <n v="4.5999999999999996"/>
    <x v="90"/>
    <n v="2023"/>
    <n v="2"/>
    <n v="4"/>
    <x v="3"/>
    <x v="5"/>
    <x v="0"/>
    <x v="2"/>
    <x v="0"/>
  </r>
  <r>
    <s v="Call_7595"/>
    <x v="11"/>
    <n v="74"/>
    <x v="1"/>
    <n v="30"/>
    <n v="4"/>
    <x v="90"/>
    <n v="2023"/>
    <n v="2"/>
    <n v="4"/>
    <x v="3"/>
    <x v="5"/>
    <x v="0"/>
    <x v="0"/>
    <x v="2"/>
  </r>
  <r>
    <s v="Call_7596"/>
    <x v="1"/>
    <n v="75"/>
    <x v="1"/>
    <n v="84"/>
    <n v="2.8"/>
    <x v="90"/>
    <n v="2023"/>
    <n v="2"/>
    <n v="4"/>
    <x v="3"/>
    <x v="5"/>
    <x v="0"/>
    <x v="0"/>
    <x v="1"/>
  </r>
  <r>
    <s v="Call_7597"/>
    <x v="14"/>
    <n v="70"/>
    <x v="3"/>
    <n v="42"/>
    <n v="4.4000000000000004"/>
    <x v="90"/>
    <n v="2023"/>
    <n v="2"/>
    <n v="4"/>
    <x v="3"/>
    <x v="5"/>
    <x v="0"/>
    <x v="0"/>
    <x v="2"/>
  </r>
  <r>
    <s v="Call_7598"/>
    <x v="9"/>
    <n v="23"/>
    <x v="4"/>
    <n v="117"/>
    <n v="2.4"/>
    <x v="90"/>
    <n v="2023"/>
    <n v="2"/>
    <n v="4"/>
    <x v="3"/>
    <x v="5"/>
    <x v="0"/>
    <x v="3"/>
    <x v="3"/>
  </r>
  <r>
    <s v="Call_7599"/>
    <x v="6"/>
    <n v="104"/>
    <x v="2"/>
    <n v="164"/>
    <n v="4"/>
    <x v="90"/>
    <n v="2023"/>
    <n v="2"/>
    <n v="4"/>
    <x v="3"/>
    <x v="5"/>
    <x v="0"/>
    <x v="0"/>
    <x v="2"/>
  </r>
  <r>
    <s v="Call_7600"/>
    <x v="13"/>
    <n v="95"/>
    <x v="3"/>
    <n v="123"/>
    <n v="4.4000000000000004"/>
    <x v="91"/>
    <n v="2023"/>
    <n v="2"/>
    <n v="4"/>
    <x v="3"/>
    <x v="6"/>
    <x v="0"/>
    <x v="0"/>
    <x v="2"/>
  </r>
  <r>
    <s v="Call_7601"/>
    <x v="4"/>
    <n v="49"/>
    <x v="0"/>
    <n v="172"/>
    <n v="2.9"/>
    <x v="91"/>
    <n v="2023"/>
    <n v="2"/>
    <n v="4"/>
    <x v="3"/>
    <x v="6"/>
    <x v="0"/>
    <x v="2"/>
    <x v="1"/>
  </r>
  <r>
    <s v="Call_7602"/>
    <x v="12"/>
    <n v="8"/>
    <x v="4"/>
    <n v="20"/>
    <n v="4.8"/>
    <x v="91"/>
    <n v="2023"/>
    <n v="2"/>
    <n v="4"/>
    <x v="3"/>
    <x v="6"/>
    <x v="0"/>
    <x v="4"/>
    <x v="0"/>
  </r>
  <r>
    <s v="Call_7603"/>
    <x v="13"/>
    <n v="157"/>
    <x v="0"/>
    <n v="72"/>
    <n v="3.7"/>
    <x v="91"/>
    <n v="2023"/>
    <n v="2"/>
    <n v="4"/>
    <x v="3"/>
    <x v="6"/>
    <x v="0"/>
    <x v="1"/>
    <x v="2"/>
  </r>
  <r>
    <s v="Call_7604"/>
    <x v="2"/>
    <n v="74"/>
    <x v="1"/>
    <n v="32"/>
    <n v="4.8"/>
    <x v="91"/>
    <n v="2023"/>
    <n v="2"/>
    <n v="4"/>
    <x v="3"/>
    <x v="6"/>
    <x v="0"/>
    <x v="0"/>
    <x v="0"/>
  </r>
  <r>
    <s v="Call_7605"/>
    <x v="9"/>
    <n v="72"/>
    <x v="3"/>
    <n v="140"/>
    <n v="3.2"/>
    <x v="91"/>
    <n v="2023"/>
    <n v="2"/>
    <n v="4"/>
    <x v="3"/>
    <x v="6"/>
    <x v="0"/>
    <x v="0"/>
    <x v="1"/>
  </r>
  <r>
    <s v="Call_7606"/>
    <x v="2"/>
    <n v="79"/>
    <x v="1"/>
    <n v="120"/>
    <n v="4.9000000000000004"/>
    <x v="92"/>
    <n v="2023"/>
    <n v="2"/>
    <n v="4"/>
    <x v="3"/>
    <x v="0"/>
    <x v="0"/>
    <x v="0"/>
    <x v="0"/>
  </r>
  <r>
    <s v="Call_7607"/>
    <x v="11"/>
    <n v="23"/>
    <x v="1"/>
    <n v="86"/>
    <n v="2.2000000000000002"/>
    <x v="92"/>
    <n v="2023"/>
    <n v="2"/>
    <n v="4"/>
    <x v="3"/>
    <x v="0"/>
    <x v="0"/>
    <x v="3"/>
    <x v="3"/>
  </r>
  <r>
    <s v="Call_7608"/>
    <x v="1"/>
    <n v="69"/>
    <x v="1"/>
    <n v="132"/>
    <n v="5"/>
    <x v="92"/>
    <n v="2023"/>
    <n v="2"/>
    <n v="4"/>
    <x v="3"/>
    <x v="0"/>
    <x v="0"/>
    <x v="0"/>
    <x v="0"/>
  </r>
  <r>
    <s v="Call_7609"/>
    <x v="10"/>
    <n v="64"/>
    <x v="1"/>
    <n v="80"/>
    <n v="3.3"/>
    <x v="92"/>
    <n v="2023"/>
    <n v="2"/>
    <n v="4"/>
    <x v="3"/>
    <x v="0"/>
    <x v="0"/>
    <x v="0"/>
    <x v="1"/>
  </r>
  <r>
    <s v="Call_7610"/>
    <x v="8"/>
    <n v="47"/>
    <x v="0"/>
    <n v="132"/>
    <n v="3.7"/>
    <x v="92"/>
    <n v="2023"/>
    <n v="2"/>
    <n v="4"/>
    <x v="3"/>
    <x v="0"/>
    <x v="0"/>
    <x v="2"/>
    <x v="2"/>
  </r>
  <r>
    <s v="Call_7611"/>
    <x v="2"/>
    <n v="55"/>
    <x v="3"/>
    <n v="27"/>
    <n v="3.7"/>
    <x v="92"/>
    <n v="2023"/>
    <n v="2"/>
    <n v="4"/>
    <x v="3"/>
    <x v="0"/>
    <x v="0"/>
    <x v="2"/>
    <x v="2"/>
  </r>
  <r>
    <s v="Call_7612"/>
    <x v="6"/>
    <n v="104"/>
    <x v="3"/>
    <n v="68"/>
    <n v="3.6"/>
    <x v="93"/>
    <n v="2023"/>
    <n v="2"/>
    <n v="4"/>
    <x v="3"/>
    <x v="1"/>
    <x v="0"/>
    <x v="0"/>
    <x v="2"/>
  </r>
  <r>
    <s v="Call_7613"/>
    <x v="8"/>
    <n v="116"/>
    <x v="1"/>
    <n v="22"/>
    <n v="4.7"/>
    <x v="93"/>
    <n v="2023"/>
    <n v="2"/>
    <n v="4"/>
    <x v="3"/>
    <x v="1"/>
    <x v="0"/>
    <x v="0"/>
    <x v="0"/>
  </r>
  <r>
    <s v="Call_7614"/>
    <x v="11"/>
    <n v="99"/>
    <x v="3"/>
    <n v="42"/>
    <n v="3.1"/>
    <x v="93"/>
    <n v="2023"/>
    <n v="2"/>
    <n v="4"/>
    <x v="3"/>
    <x v="1"/>
    <x v="0"/>
    <x v="0"/>
    <x v="1"/>
  </r>
  <r>
    <s v="Call_7615"/>
    <x v="6"/>
    <n v="84"/>
    <x v="3"/>
    <n v="38"/>
    <n v="3.3"/>
    <x v="94"/>
    <n v="2023"/>
    <n v="2"/>
    <n v="4"/>
    <x v="3"/>
    <x v="2"/>
    <x v="0"/>
    <x v="0"/>
    <x v="1"/>
  </r>
  <r>
    <s v="Call_7616"/>
    <x v="12"/>
    <n v="159"/>
    <x v="3"/>
    <n v="42"/>
    <n v="4.5"/>
    <x v="94"/>
    <n v="2023"/>
    <n v="2"/>
    <n v="4"/>
    <x v="3"/>
    <x v="2"/>
    <x v="0"/>
    <x v="1"/>
    <x v="2"/>
  </r>
  <r>
    <s v="Call_7617"/>
    <x v="5"/>
    <n v="25"/>
    <x v="0"/>
    <n v="75"/>
    <n v="3.9"/>
    <x v="94"/>
    <n v="2023"/>
    <n v="2"/>
    <n v="4"/>
    <x v="3"/>
    <x v="2"/>
    <x v="0"/>
    <x v="3"/>
    <x v="2"/>
  </r>
  <r>
    <s v="Call_7618"/>
    <x v="12"/>
    <n v="53"/>
    <x v="4"/>
    <n v="23"/>
    <n v="4.9000000000000004"/>
    <x v="95"/>
    <n v="2023"/>
    <n v="2"/>
    <n v="4"/>
    <x v="3"/>
    <x v="3"/>
    <x v="0"/>
    <x v="2"/>
    <x v="0"/>
  </r>
  <r>
    <s v="Call_7619"/>
    <x v="12"/>
    <n v="89"/>
    <x v="0"/>
    <n v="200"/>
    <n v="4.8"/>
    <x v="95"/>
    <n v="2023"/>
    <n v="2"/>
    <n v="4"/>
    <x v="3"/>
    <x v="3"/>
    <x v="0"/>
    <x v="0"/>
    <x v="0"/>
  </r>
  <r>
    <s v="Call_7620"/>
    <x v="3"/>
    <n v="73"/>
    <x v="1"/>
    <n v="45"/>
    <n v="3.6"/>
    <x v="96"/>
    <n v="2023"/>
    <n v="2"/>
    <n v="4"/>
    <x v="3"/>
    <x v="4"/>
    <x v="0"/>
    <x v="0"/>
    <x v="2"/>
  </r>
  <r>
    <s v="Call_7621"/>
    <x v="11"/>
    <n v="50"/>
    <x v="1"/>
    <n v="105"/>
    <n v="3.5"/>
    <x v="96"/>
    <n v="2023"/>
    <n v="2"/>
    <n v="4"/>
    <x v="3"/>
    <x v="4"/>
    <x v="0"/>
    <x v="2"/>
    <x v="2"/>
  </r>
  <r>
    <s v="Call_7622"/>
    <x v="4"/>
    <n v="98"/>
    <x v="1"/>
    <n v="22"/>
    <n v="3.8"/>
    <x v="96"/>
    <n v="2023"/>
    <n v="2"/>
    <n v="4"/>
    <x v="3"/>
    <x v="4"/>
    <x v="0"/>
    <x v="0"/>
    <x v="2"/>
  </r>
  <r>
    <s v="Call_7623"/>
    <x v="7"/>
    <n v="114"/>
    <x v="3"/>
    <n v="126"/>
    <n v="4.4000000000000004"/>
    <x v="97"/>
    <n v="2023"/>
    <n v="2"/>
    <n v="4"/>
    <x v="3"/>
    <x v="5"/>
    <x v="0"/>
    <x v="0"/>
    <x v="2"/>
  </r>
  <r>
    <s v="Call_7624"/>
    <x v="10"/>
    <n v="67"/>
    <x v="3"/>
    <n v="35"/>
    <n v="3"/>
    <x v="97"/>
    <n v="2023"/>
    <n v="2"/>
    <n v="4"/>
    <x v="3"/>
    <x v="5"/>
    <x v="0"/>
    <x v="0"/>
    <x v="1"/>
  </r>
  <r>
    <s v="Call_7625"/>
    <x v="2"/>
    <n v="91"/>
    <x v="1"/>
    <n v="84"/>
    <n v="4.5"/>
    <x v="97"/>
    <n v="2023"/>
    <n v="2"/>
    <n v="4"/>
    <x v="3"/>
    <x v="5"/>
    <x v="0"/>
    <x v="0"/>
    <x v="2"/>
  </r>
  <r>
    <s v="Call_7626"/>
    <x v="14"/>
    <n v="67"/>
    <x v="1"/>
    <n v="172"/>
    <n v="4.5"/>
    <x v="98"/>
    <n v="2023"/>
    <n v="2"/>
    <n v="4"/>
    <x v="3"/>
    <x v="6"/>
    <x v="0"/>
    <x v="0"/>
    <x v="2"/>
  </r>
  <r>
    <s v="Call_7627"/>
    <x v="7"/>
    <n v="139"/>
    <x v="0"/>
    <n v="114"/>
    <n v="4"/>
    <x v="98"/>
    <n v="2023"/>
    <n v="2"/>
    <n v="4"/>
    <x v="3"/>
    <x v="6"/>
    <x v="0"/>
    <x v="1"/>
    <x v="2"/>
  </r>
  <r>
    <s v="Call_7628"/>
    <x v="14"/>
    <n v="102"/>
    <x v="0"/>
    <n v="60"/>
    <n v="3.8"/>
    <x v="98"/>
    <n v="2023"/>
    <n v="2"/>
    <n v="4"/>
    <x v="3"/>
    <x v="6"/>
    <x v="0"/>
    <x v="0"/>
    <x v="2"/>
  </r>
  <r>
    <s v="Call_7629"/>
    <x v="13"/>
    <n v="108"/>
    <x v="2"/>
    <n v="26"/>
    <n v="3.3"/>
    <x v="98"/>
    <n v="2023"/>
    <n v="2"/>
    <n v="4"/>
    <x v="3"/>
    <x v="6"/>
    <x v="0"/>
    <x v="0"/>
    <x v="1"/>
  </r>
  <r>
    <s v="Call_7630"/>
    <x v="5"/>
    <n v="66"/>
    <x v="1"/>
    <n v="210"/>
    <n v="4.3"/>
    <x v="98"/>
    <n v="2023"/>
    <n v="2"/>
    <n v="4"/>
    <x v="3"/>
    <x v="6"/>
    <x v="0"/>
    <x v="0"/>
    <x v="2"/>
  </r>
  <r>
    <s v="Call_7631"/>
    <x v="9"/>
    <n v="85"/>
    <x v="0"/>
    <n v="129"/>
    <n v="4.2"/>
    <x v="98"/>
    <n v="2023"/>
    <n v="2"/>
    <n v="4"/>
    <x v="3"/>
    <x v="6"/>
    <x v="0"/>
    <x v="0"/>
    <x v="2"/>
  </r>
  <r>
    <s v="Call_7632"/>
    <x v="10"/>
    <n v="55"/>
    <x v="2"/>
    <n v="215"/>
    <n v="4.3"/>
    <x v="98"/>
    <n v="2023"/>
    <n v="2"/>
    <n v="4"/>
    <x v="3"/>
    <x v="6"/>
    <x v="0"/>
    <x v="2"/>
    <x v="2"/>
  </r>
  <r>
    <s v="Call_7633"/>
    <x v="13"/>
    <n v="17"/>
    <x v="4"/>
    <n v="69"/>
    <n v="4.5999999999999996"/>
    <x v="98"/>
    <n v="2023"/>
    <n v="2"/>
    <n v="4"/>
    <x v="3"/>
    <x v="6"/>
    <x v="0"/>
    <x v="3"/>
    <x v="0"/>
  </r>
  <r>
    <s v="Call_7634"/>
    <x v="10"/>
    <n v="128"/>
    <x v="4"/>
    <n v="140"/>
    <n v="3"/>
    <x v="98"/>
    <n v="2023"/>
    <n v="2"/>
    <n v="4"/>
    <x v="3"/>
    <x v="6"/>
    <x v="0"/>
    <x v="1"/>
    <x v="1"/>
  </r>
  <r>
    <s v="Call_7635"/>
    <x v="11"/>
    <n v="45"/>
    <x v="2"/>
    <n v="156"/>
    <n v="2.7"/>
    <x v="99"/>
    <n v="2023"/>
    <n v="2"/>
    <n v="4"/>
    <x v="3"/>
    <x v="0"/>
    <x v="0"/>
    <x v="2"/>
    <x v="1"/>
  </r>
  <r>
    <s v="Call_7636"/>
    <x v="13"/>
    <n v="41"/>
    <x v="4"/>
    <n v="164"/>
    <n v="3.1"/>
    <x v="99"/>
    <n v="2023"/>
    <n v="2"/>
    <n v="4"/>
    <x v="3"/>
    <x v="0"/>
    <x v="0"/>
    <x v="2"/>
    <x v="1"/>
  </r>
  <r>
    <s v="Call_7637"/>
    <x v="8"/>
    <n v="49"/>
    <x v="4"/>
    <n v="195"/>
    <n v="2.6"/>
    <x v="99"/>
    <n v="2023"/>
    <n v="2"/>
    <n v="4"/>
    <x v="3"/>
    <x v="0"/>
    <x v="0"/>
    <x v="2"/>
    <x v="1"/>
  </r>
  <r>
    <s v="Call_7638"/>
    <x v="1"/>
    <n v="21"/>
    <x v="3"/>
    <n v="74"/>
    <n v="4.5999999999999996"/>
    <x v="99"/>
    <n v="2023"/>
    <n v="2"/>
    <n v="4"/>
    <x v="3"/>
    <x v="0"/>
    <x v="0"/>
    <x v="3"/>
    <x v="0"/>
  </r>
  <r>
    <s v="Call_7639"/>
    <x v="12"/>
    <n v="133"/>
    <x v="2"/>
    <n v="100"/>
    <n v="4"/>
    <x v="99"/>
    <n v="2023"/>
    <n v="2"/>
    <n v="4"/>
    <x v="3"/>
    <x v="0"/>
    <x v="0"/>
    <x v="1"/>
    <x v="2"/>
  </r>
  <r>
    <s v="Call_7640"/>
    <x v="0"/>
    <n v="135"/>
    <x v="1"/>
    <n v="185"/>
    <n v="4.5"/>
    <x v="99"/>
    <n v="2023"/>
    <n v="2"/>
    <n v="4"/>
    <x v="3"/>
    <x v="0"/>
    <x v="0"/>
    <x v="1"/>
    <x v="2"/>
  </r>
  <r>
    <s v="Call_7641"/>
    <x v="7"/>
    <n v="69"/>
    <x v="2"/>
    <n v="130"/>
    <n v="1.9"/>
    <x v="99"/>
    <n v="2023"/>
    <n v="2"/>
    <n v="4"/>
    <x v="3"/>
    <x v="0"/>
    <x v="0"/>
    <x v="0"/>
    <x v="3"/>
  </r>
  <r>
    <s v="Call_7642"/>
    <x v="6"/>
    <n v="110"/>
    <x v="3"/>
    <n v="21"/>
    <n v="2.6"/>
    <x v="100"/>
    <n v="2023"/>
    <n v="2"/>
    <n v="4"/>
    <x v="3"/>
    <x v="1"/>
    <x v="0"/>
    <x v="0"/>
    <x v="1"/>
  </r>
  <r>
    <s v="Call_7643"/>
    <x v="14"/>
    <n v="64"/>
    <x v="0"/>
    <n v="88"/>
    <n v="4.3"/>
    <x v="100"/>
    <n v="2023"/>
    <n v="2"/>
    <n v="4"/>
    <x v="3"/>
    <x v="1"/>
    <x v="0"/>
    <x v="0"/>
    <x v="2"/>
  </r>
  <r>
    <s v="Call_7644"/>
    <x v="2"/>
    <n v="105"/>
    <x v="4"/>
    <n v="35"/>
    <n v="4.4000000000000004"/>
    <x v="100"/>
    <n v="2023"/>
    <n v="2"/>
    <n v="4"/>
    <x v="3"/>
    <x v="1"/>
    <x v="0"/>
    <x v="0"/>
    <x v="2"/>
  </r>
  <r>
    <s v="Call_7645"/>
    <x v="14"/>
    <n v="165"/>
    <x v="1"/>
    <n v="68"/>
    <n v="4.3"/>
    <x v="100"/>
    <n v="2023"/>
    <n v="2"/>
    <n v="4"/>
    <x v="3"/>
    <x v="1"/>
    <x v="0"/>
    <x v="1"/>
    <x v="2"/>
  </r>
  <r>
    <s v="Call_7646"/>
    <x v="11"/>
    <n v="125"/>
    <x v="1"/>
    <n v="148"/>
    <n v="4.5"/>
    <x v="100"/>
    <n v="2023"/>
    <n v="2"/>
    <n v="4"/>
    <x v="3"/>
    <x v="1"/>
    <x v="0"/>
    <x v="1"/>
    <x v="2"/>
  </r>
  <r>
    <s v="Call_7647"/>
    <x v="2"/>
    <n v="88"/>
    <x v="0"/>
    <n v="81"/>
    <n v="4.2"/>
    <x v="101"/>
    <n v="2023"/>
    <n v="2"/>
    <n v="4"/>
    <x v="3"/>
    <x v="2"/>
    <x v="0"/>
    <x v="0"/>
    <x v="2"/>
  </r>
  <r>
    <s v="Call_7648"/>
    <x v="7"/>
    <n v="6"/>
    <x v="0"/>
    <n v="75"/>
    <n v="3.9"/>
    <x v="101"/>
    <n v="2023"/>
    <n v="2"/>
    <n v="4"/>
    <x v="3"/>
    <x v="2"/>
    <x v="0"/>
    <x v="4"/>
    <x v="2"/>
  </r>
  <r>
    <s v="Call_7649"/>
    <x v="9"/>
    <n v="69"/>
    <x v="2"/>
    <n v="32"/>
    <n v="3.6"/>
    <x v="102"/>
    <n v="2023"/>
    <n v="2"/>
    <n v="4"/>
    <x v="3"/>
    <x v="3"/>
    <x v="0"/>
    <x v="0"/>
    <x v="2"/>
  </r>
  <r>
    <s v="Call_7650"/>
    <x v="13"/>
    <n v="107"/>
    <x v="2"/>
    <n v="156"/>
    <n v="3.8"/>
    <x v="102"/>
    <n v="2023"/>
    <n v="2"/>
    <n v="4"/>
    <x v="3"/>
    <x v="3"/>
    <x v="0"/>
    <x v="0"/>
    <x v="2"/>
  </r>
  <r>
    <s v="Call_7651"/>
    <x v="1"/>
    <n v="90"/>
    <x v="1"/>
    <n v="99"/>
    <n v="4.9000000000000004"/>
    <x v="102"/>
    <n v="2023"/>
    <n v="2"/>
    <n v="4"/>
    <x v="3"/>
    <x v="3"/>
    <x v="0"/>
    <x v="0"/>
    <x v="0"/>
  </r>
  <r>
    <s v="Call_7652"/>
    <x v="0"/>
    <n v="120"/>
    <x v="4"/>
    <n v="26"/>
    <n v="4"/>
    <x v="102"/>
    <n v="2023"/>
    <n v="2"/>
    <n v="4"/>
    <x v="3"/>
    <x v="3"/>
    <x v="0"/>
    <x v="0"/>
    <x v="2"/>
  </r>
  <r>
    <s v="Call_7653"/>
    <x v="4"/>
    <n v="47"/>
    <x v="2"/>
    <n v="84"/>
    <n v="4.0999999999999996"/>
    <x v="102"/>
    <n v="2023"/>
    <n v="2"/>
    <n v="4"/>
    <x v="3"/>
    <x v="3"/>
    <x v="0"/>
    <x v="2"/>
    <x v="2"/>
  </r>
  <r>
    <s v="Call_7654"/>
    <x v="3"/>
    <n v="60"/>
    <x v="4"/>
    <n v="84"/>
    <n v="4.8"/>
    <x v="102"/>
    <n v="2023"/>
    <n v="2"/>
    <n v="4"/>
    <x v="3"/>
    <x v="3"/>
    <x v="0"/>
    <x v="2"/>
    <x v="0"/>
  </r>
  <r>
    <s v="Call_7655"/>
    <x v="10"/>
    <n v="64"/>
    <x v="1"/>
    <n v="170"/>
    <n v="2.2999999999999998"/>
    <x v="102"/>
    <n v="2023"/>
    <n v="2"/>
    <n v="4"/>
    <x v="3"/>
    <x v="3"/>
    <x v="0"/>
    <x v="0"/>
    <x v="3"/>
  </r>
  <r>
    <s v="Call_7656"/>
    <x v="14"/>
    <n v="62"/>
    <x v="2"/>
    <n v="35"/>
    <n v="4.4000000000000004"/>
    <x v="102"/>
    <n v="2023"/>
    <n v="2"/>
    <n v="4"/>
    <x v="3"/>
    <x v="3"/>
    <x v="0"/>
    <x v="0"/>
    <x v="2"/>
  </r>
  <r>
    <s v="Call_7657"/>
    <x v="6"/>
    <n v="88"/>
    <x v="2"/>
    <n v="35"/>
    <n v="3.8"/>
    <x v="103"/>
    <n v="2023"/>
    <n v="2"/>
    <n v="4"/>
    <x v="3"/>
    <x v="4"/>
    <x v="0"/>
    <x v="0"/>
    <x v="2"/>
  </r>
  <r>
    <s v="Call_7658"/>
    <x v="11"/>
    <n v="116"/>
    <x v="2"/>
    <n v="132"/>
    <n v="5"/>
    <x v="103"/>
    <n v="2023"/>
    <n v="2"/>
    <n v="4"/>
    <x v="3"/>
    <x v="4"/>
    <x v="0"/>
    <x v="0"/>
    <x v="0"/>
  </r>
  <r>
    <s v="Call_7659"/>
    <x v="1"/>
    <n v="82"/>
    <x v="0"/>
    <n v="144"/>
    <n v="3.3"/>
    <x v="104"/>
    <n v="2023"/>
    <n v="2"/>
    <n v="4"/>
    <x v="3"/>
    <x v="5"/>
    <x v="0"/>
    <x v="0"/>
    <x v="1"/>
  </r>
  <r>
    <s v="Call_7660"/>
    <x v="14"/>
    <n v="99"/>
    <x v="1"/>
    <n v="48"/>
    <n v="5"/>
    <x v="104"/>
    <n v="2023"/>
    <n v="2"/>
    <n v="4"/>
    <x v="3"/>
    <x v="5"/>
    <x v="0"/>
    <x v="0"/>
    <x v="0"/>
  </r>
  <r>
    <s v="Call_7661"/>
    <x v="14"/>
    <n v="55"/>
    <x v="0"/>
    <n v="200"/>
    <n v="2.2999999999999998"/>
    <x v="104"/>
    <n v="2023"/>
    <n v="2"/>
    <n v="4"/>
    <x v="3"/>
    <x v="5"/>
    <x v="0"/>
    <x v="2"/>
    <x v="3"/>
  </r>
  <r>
    <s v="Call_7662"/>
    <x v="10"/>
    <n v="61"/>
    <x v="4"/>
    <n v="38"/>
    <n v="4.8"/>
    <x v="104"/>
    <n v="2023"/>
    <n v="2"/>
    <n v="4"/>
    <x v="3"/>
    <x v="5"/>
    <x v="0"/>
    <x v="0"/>
    <x v="0"/>
  </r>
  <r>
    <s v="Call_7663"/>
    <x v="11"/>
    <n v="36"/>
    <x v="3"/>
    <n v="81"/>
    <n v="3.7"/>
    <x v="104"/>
    <n v="2023"/>
    <n v="2"/>
    <n v="4"/>
    <x v="3"/>
    <x v="5"/>
    <x v="0"/>
    <x v="2"/>
    <x v="2"/>
  </r>
  <r>
    <s v="Call_7664"/>
    <x v="1"/>
    <n v="123"/>
    <x v="2"/>
    <n v="120"/>
    <n v="4.2"/>
    <x v="104"/>
    <n v="2023"/>
    <n v="2"/>
    <n v="4"/>
    <x v="3"/>
    <x v="5"/>
    <x v="0"/>
    <x v="1"/>
    <x v="2"/>
  </r>
  <r>
    <s v="Call_7665"/>
    <x v="8"/>
    <n v="24"/>
    <x v="4"/>
    <n v="74"/>
    <n v="4.8"/>
    <x v="104"/>
    <n v="2023"/>
    <n v="2"/>
    <n v="4"/>
    <x v="3"/>
    <x v="5"/>
    <x v="0"/>
    <x v="3"/>
    <x v="0"/>
  </r>
  <r>
    <s v="Call_7666"/>
    <x v="1"/>
    <n v="43"/>
    <x v="2"/>
    <n v="128"/>
    <n v="4.7"/>
    <x v="105"/>
    <n v="2023"/>
    <n v="2"/>
    <n v="4"/>
    <x v="3"/>
    <x v="6"/>
    <x v="0"/>
    <x v="2"/>
    <x v="0"/>
  </r>
  <r>
    <s v="Call_7667"/>
    <x v="3"/>
    <n v="95"/>
    <x v="1"/>
    <n v="21"/>
    <n v="3.9"/>
    <x v="105"/>
    <n v="2023"/>
    <n v="2"/>
    <n v="4"/>
    <x v="3"/>
    <x v="6"/>
    <x v="0"/>
    <x v="0"/>
    <x v="2"/>
  </r>
  <r>
    <s v="Call_7668"/>
    <x v="14"/>
    <n v="53"/>
    <x v="2"/>
    <n v="110"/>
    <n v="4.3"/>
    <x v="105"/>
    <n v="2023"/>
    <n v="2"/>
    <n v="4"/>
    <x v="3"/>
    <x v="6"/>
    <x v="0"/>
    <x v="2"/>
    <x v="2"/>
  </r>
  <r>
    <s v="Call_7669"/>
    <x v="1"/>
    <n v="113"/>
    <x v="2"/>
    <n v="145"/>
    <n v="4"/>
    <x v="105"/>
    <n v="2023"/>
    <n v="2"/>
    <n v="4"/>
    <x v="3"/>
    <x v="6"/>
    <x v="0"/>
    <x v="0"/>
    <x v="2"/>
  </r>
  <r>
    <s v="Call_7670"/>
    <x v="14"/>
    <n v="89"/>
    <x v="3"/>
    <n v="129"/>
    <n v="4"/>
    <x v="105"/>
    <n v="2023"/>
    <n v="2"/>
    <n v="4"/>
    <x v="3"/>
    <x v="6"/>
    <x v="0"/>
    <x v="0"/>
    <x v="2"/>
  </r>
  <r>
    <s v="Call_7671"/>
    <x v="6"/>
    <n v="84"/>
    <x v="0"/>
    <n v="156"/>
    <n v="3.2"/>
    <x v="105"/>
    <n v="2023"/>
    <n v="2"/>
    <n v="4"/>
    <x v="3"/>
    <x v="6"/>
    <x v="0"/>
    <x v="0"/>
    <x v="1"/>
  </r>
  <r>
    <s v="Call_7672"/>
    <x v="8"/>
    <n v="130"/>
    <x v="2"/>
    <n v="120"/>
    <n v="3.8"/>
    <x v="106"/>
    <n v="2023"/>
    <n v="2"/>
    <n v="4"/>
    <x v="3"/>
    <x v="0"/>
    <x v="0"/>
    <x v="1"/>
    <x v="2"/>
  </r>
  <r>
    <s v="Call_7673"/>
    <x v="3"/>
    <n v="163"/>
    <x v="3"/>
    <n v="62"/>
    <n v="3.4"/>
    <x v="106"/>
    <n v="2023"/>
    <n v="2"/>
    <n v="4"/>
    <x v="3"/>
    <x v="0"/>
    <x v="0"/>
    <x v="1"/>
    <x v="1"/>
  </r>
  <r>
    <s v="Call_7674"/>
    <x v="9"/>
    <n v="127"/>
    <x v="2"/>
    <n v="160"/>
    <n v="3.2"/>
    <x v="106"/>
    <n v="2023"/>
    <n v="2"/>
    <n v="4"/>
    <x v="3"/>
    <x v="0"/>
    <x v="0"/>
    <x v="1"/>
    <x v="1"/>
  </r>
  <r>
    <s v="Call_7675"/>
    <x v="1"/>
    <n v="50"/>
    <x v="2"/>
    <n v="56"/>
    <n v="4.7"/>
    <x v="106"/>
    <n v="2023"/>
    <n v="2"/>
    <n v="4"/>
    <x v="3"/>
    <x v="0"/>
    <x v="0"/>
    <x v="2"/>
    <x v="0"/>
  </r>
  <r>
    <s v="Call_7676"/>
    <x v="5"/>
    <n v="88"/>
    <x v="4"/>
    <n v="72"/>
    <n v="4"/>
    <x v="106"/>
    <n v="2023"/>
    <n v="2"/>
    <n v="4"/>
    <x v="3"/>
    <x v="0"/>
    <x v="0"/>
    <x v="0"/>
    <x v="2"/>
  </r>
  <r>
    <s v="Call_7677"/>
    <x v="1"/>
    <n v="139"/>
    <x v="1"/>
    <n v="81"/>
    <n v="4.8"/>
    <x v="107"/>
    <n v="2023"/>
    <n v="2"/>
    <n v="4"/>
    <x v="3"/>
    <x v="1"/>
    <x v="0"/>
    <x v="1"/>
    <x v="0"/>
  </r>
  <r>
    <s v="Call_7678"/>
    <x v="3"/>
    <n v="111"/>
    <x v="2"/>
    <n v="144"/>
    <n v="3.9"/>
    <x v="107"/>
    <n v="2023"/>
    <n v="2"/>
    <n v="4"/>
    <x v="3"/>
    <x v="1"/>
    <x v="0"/>
    <x v="0"/>
    <x v="2"/>
  </r>
  <r>
    <s v="Call_7679"/>
    <x v="2"/>
    <n v="115"/>
    <x v="1"/>
    <n v="111"/>
    <n v="4.3"/>
    <x v="107"/>
    <n v="2023"/>
    <n v="2"/>
    <n v="4"/>
    <x v="3"/>
    <x v="1"/>
    <x v="0"/>
    <x v="0"/>
    <x v="2"/>
  </r>
  <r>
    <s v="Call_7680"/>
    <x v="14"/>
    <n v="26"/>
    <x v="3"/>
    <n v="43"/>
    <n v="4.2"/>
    <x v="107"/>
    <n v="2023"/>
    <n v="2"/>
    <n v="4"/>
    <x v="3"/>
    <x v="1"/>
    <x v="0"/>
    <x v="3"/>
    <x v="2"/>
  </r>
  <r>
    <s v="Call_7681"/>
    <x v="6"/>
    <n v="131"/>
    <x v="4"/>
    <n v="41"/>
    <n v="4.9000000000000004"/>
    <x v="107"/>
    <n v="2023"/>
    <n v="2"/>
    <n v="4"/>
    <x v="3"/>
    <x v="1"/>
    <x v="0"/>
    <x v="1"/>
    <x v="0"/>
  </r>
  <r>
    <s v="Call_7682"/>
    <x v="2"/>
    <n v="27"/>
    <x v="4"/>
    <n v="74"/>
    <n v="4"/>
    <x v="107"/>
    <n v="2023"/>
    <n v="2"/>
    <n v="4"/>
    <x v="3"/>
    <x v="1"/>
    <x v="0"/>
    <x v="3"/>
    <x v="2"/>
  </r>
  <r>
    <s v="Call_7683"/>
    <x v="12"/>
    <n v="75"/>
    <x v="2"/>
    <n v="43"/>
    <n v="4.9000000000000004"/>
    <x v="107"/>
    <n v="2023"/>
    <n v="2"/>
    <n v="4"/>
    <x v="3"/>
    <x v="1"/>
    <x v="0"/>
    <x v="0"/>
    <x v="0"/>
  </r>
  <r>
    <s v="Call_7684"/>
    <x v="10"/>
    <n v="123"/>
    <x v="4"/>
    <n v="128"/>
    <n v="3.6"/>
    <x v="107"/>
    <n v="2023"/>
    <n v="2"/>
    <n v="4"/>
    <x v="3"/>
    <x v="1"/>
    <x v="0"/>
    <x v="1"/>
    <x v="2"/>
  </r>
  <r>
    <s v="Call_7685"/>
    <x v="0"/>
    <n v="129"/>
    <x v="4"/>
    <n v="144"/>
    <n v="4.0999999999999996"/>
    <x v="108"/>
    <n v="2023"/>
    <n v="2"/>
    <n v="4"/>
    <x v="3"/>
    <x v="2"/>
    <x v="0"/>
    <x v="1"/>
    <x v="2"/>
  </r>
  <r>
    <s v="Call_7686"/>
    <x v="12"/>
    <n v="124"/>
    <x v="1"/>
    <n v="132"/>
    <n v="4.9000000000000004"/>
    <x v="108"/>
    <n v="2023"/>
    <n v="2"/>
    <n v="4"/>
    <x v="3"/>
    <x v="2"/>
    <x v="0"/>
    <x v="1"/>
    <x v="0"/>
  </r>
  <r>
    <s v="Call_7687"/>
    <x v="2"/>
    <n v="108"/>
    <x v="1"/>
    <n v="180"/>
    <n v="3.9"/>
    <x v="108"/>
    <n v="2023"/>
    <n v="2"/>
    <n v="4"/>
    <x v="3"/>
    <x v="2"/>
    <x v="0"/>
    <x v="0"/>
    <x v="2"/>
  </r>
  <r>
    <s v="Call_7688"/>
    <x v="4"/>
    <n v="15"/>
    <x v="1"/>
    <n v="31"/>
    <n v="4.0999999999999996"/>
    <x v="108"/>
    <n v="2023"/>
    <n v="2"/>
    <n v="4"/>
    <x v="3"/>
    <x v="2"/>
    <x v="0"/>
    <x v="3"/>
    <x v="2"/>
  </r>
  <r>
    <s v="Call_7689"/>
    <x v="2"/>
    <n v="66"/>
    <x v="1"/>
    <n v="102"/>
    <n v="3.8"/>
    <x v="108"/>
    <n v="2023"/>
    <n v="2"/>
    <n v="4"/>
    <x v="3"/>
    <x v="2"/>
    <x v="0"/>
    <x v="0"/>
    <x v="2"/>
  </r>
  <r>
    <s v="Call_7690"/>
    <x v="5"/>
    <n v="126"/>
    <x v="2"/>
    <n v="175"/>
    <n v="4.8"/>
    <x v="109"/>
    <n v="2023"/>
    <n v="2"/>
    <n v="4"/>
    <x v="3"/>
    <x v="3"/>
    <x v="0"/>
    <x v="1"/>
    <x v="0"/>
  </r>
  <r>
    <s v="Call_7691"/>
    <x v="12"/>
    <n v="26"/>
    <x v="0"/>
    <n v="87"/>
    <n v="4.7"/>
    <x v="109"/>
    <n v="2023"/>
    <n v="2"/>
    <n v="4"/>
    <x v="3"/>
    <x v="3"/>
    <x v="0"/>
    <x v="3"/>
    <x v="0"/>
  </r>
  <r>
    <s v="Call_7692"/>
    <x v="8"/>
    <n v="105"/>
    <x v="2"/>
    <n v="66"/>
    <n v="4.2"/>
    <x v="109"/>
    <n v="2023"/>
    <n v="2"/>
    <n v="4"/>
    <x v="3"/>
    <x v="3"/>
    <x v="0"/>
    <x v="0"/>
    <x v="2"/>
  </r>
  <r>
    <s v="Call_7693"/>
    <x v="8"/>
    <n v="31"/>
    <x v="2"/>
    <n v="25"/>
    <n v="3.2"/>
    <x v="109"/>
    <n v="2023"/>
    <n v="2"/>
    <n v="4"/>
    <x v="3"/>
    <x v="3"/>
    <x v="0"/>
    <x v="2"/>
    <x v="1"/>
  </r>
  <r>
    <s v="Call_7694"/>
    <x v="2"/>
    <n v="109"/>
    <x v="1"/>
    <n v="126"/>
    <n v="3.4"/>
    <x v="109"/>
    <n v="2023"/>
    <n v="2"/>
    <n v="4"/>
    <x v="3"/>
    <x v="3"/>
    <x v="0"/>
    <x v="0"/>
    <x v="1"/>
  </r>
  <r>
    <s v="Call_7695"/>
    <x v="0"/>
    <n v="113"/>
    <x v="3"/>
    <n v="42"/>
    <n v="4.5999999999999996"/>
    <x v="110"/>
    <n v="2023"/>
    <n v="2"/>
    <n v="4"/>
    <x v="3"/>
    <x v="4"/>
    <x v="0"/>
    <x v="0"/>
    <x v="0"/>
  </r>
  <r>
    <s v="Call_7696"/>
    <x v="5"/>
    <n v="101"/>
    <x v="0"/>
    <n v="225"/>
    <n v="1.9"/>
    <x v="110"/>
    <n v="2023"/>
    <n v="2"/>
    <n v="4"/>
    <x v="3"/>
    <x v="4"/>
    <x v="0"/>
    <x v="0"/>
    <x v="3"/>
  </r>
  <r>
    <s v="Call_7697"/>
    <x v="3"/>
    <n v="156"/>
    <x v="0"/>
    <n v="42"/>
    <n v="3.3"/>
    <x v="110"/>
    <n v="2023"/>
    <n v="2"/>
    <n v="4"/>
    <x v="3"/>
    <x v="4"/>
    <x v="0"/>
    <x v="1"/>
    <x v="1"/>
  </r>
  <r>
    <s v="Call_7698"/>
    <x v="2"/>
    <n v="145"/>
    <x v="3"/>
    <n v="110"/>
    <n v="3.1"/>
    <x v="111"/>
    <n v="2023"/>
    <n v="2"/>
    <n v="4"/>
    <x v="3"/>
    <x v="5"/>
    <x v="0"/>
    <x v="1"/>
    <x v="1"/>
  </r>
  <r>
    <s v="Call_7699"/>
    <x v="10"/>
    <n v="36"/>
    <x v="1"/>
    <n v="225"/>
    <n v="4.8"/>
    <x v="111"/>
    <n v="2023"/>
    <n v="2"/>
    <n v="4"/>
    <x v="3"/>
    <x v="5"/>
    <x v="0"/>
    <x v="2"/>
    <x v="0"/>
  </r>
  <r>
    <s v="Call_7700"/>
    <x v="8"/>
    <n v="135"/>
    <x v="4"/>
    <n v="125"/>
    <n v="3.3"/>
    <x v="112"/>
    <n v="2023"/>
    <n v="2"/>
    <n v="4"/>
    <x v="3"/>
    <x v="6"/>
    <x v="0"/>
    <x v="1"/>
    <x v="1"/>
  </r>
  <r>
    <s v="Call_7701"/>
    <x v="5"/>
    <n v="81"/>
    <x v="1"/>
    <n v="78"/>
    <n v="2.9"/>
    <x v="112"/>
    <n v="2023"/>
    <n v="2"/>
    <n v="4"/>
    <x v="3"/>
    <x v="6"/>
    <x v="0"/>
    <x v="0"/>
    <x v="1"/>
  </r>
  <r>
    <s v="Call_7702"/>
    <x v="5"/>
    <n v="81"/>
    <x v="3"/>
    <n v="40"/>
    <n v="2.4"/>
    <x v="112"/>
    <n v="2023"/>
    <n v="2"/>
    <n v="4"/>
    <x v="3"/>
    <x v="6"/>
    <x v="0"/>
    <x v="0"/>
    <x v="3"/>
  </r>
  <r>
    <s v="Call_7703"/>
    <x v="9"/>
    <n v="93"/>
    <x v="2"/>
    <n v="150"/>
    <n v="4.5999999999999996"/>
    <x v="112"/>
    <n v="2023"/>
    <n v="2"/>
    <n v="4"/>
    <x v="3"/>
    <x v="6"/>
    <x v="0"/>
    <x v="0"/>
    <x v="0"/>
  </r>
  <r>
    <s v="Call_7704"/>
    <x v="2"/>
    <n v="14"/>
    <x v="1"/>
    <n v="96"/>
    <n v="4.8"/>
    <x v="112"/>
    <n v="2023"/>
    <n v="2"/>
    <n v="4"/>
    <x v="3"/>
    <x v="6"/>
    <x v="0"/>
    <x v="3"/>
    <x v="0"/>
  </r>
  <r>
    <s v="Call_7705"/>
    <x v="8"/>
    <n v="95"/>
    <x v="3"/>
    <n v="75"/>
    <n v="4.8"/>
    <x v="113"/>
    <n v="2023"/>
    <n v="2"/>
    <n v="4"/>
    <x v="3"/>
    <x v="0"/>
    <x v="0"/>
    <x v="0"/>
    <x v="0"/>
  </r>
  <r>
    <s v="Call_7706"/>
    <x v="9"/>
    <n v="81"/>
    <x v="3"/>
    <n v="60"/>
    <n v="3.6"/>
    <x v="113"/>
    <n v="2023"/>
    <n v="2"/>
    <n v="4"/>
    <x v="3"/>
    <x v="0"/>
    <x v="0"/>
    <x v="0"/>
    <x v="2"/>
  </r>
  <r>
    <s v="Call_7707"/>
    <x v="14"/>
    <n v="60"/>
    <x v="1"/>
    <n v="41"/>
    <n v="4.8"/>
    <x v="114"/>
    <n v="2023"/>
    <n v="2"/>
    <n v="5"/>
    <x v="4"/>
    <x v="1"/>
    <x v="0"/>
    <x v="2"/>
    <x v="0"/>
  </r>
  <r>
    <s v="Call_7708"/>
    <x v="7"/>
    <n v="137"/>
    <x v="2"/>
    <n v="20"/>
    <n v="4.2"/>
    <x v="114"/>
    <n v="2023"/>
    <n v="2"/>
    <n v="5"/>
    <x v="4"/>
    <x v="1"/>
    <x v="0"/>
    <x v="1"/>
    <x v="2"/>
  </r>
  <r>
    <s v="Call_7709"/>
    <x v="1"/>
    <n v="112"/>
    <x v="4"/>
    <n v="84"/>
    <n v="2.6"/>
    <x v="114"/>
    <n v="2023"/>
    <n v="2"/>
    <n v="5"/>
    <x v="4"/>
    <x v="1"/>
    <x v="0"/>
    <x v="0"/>
    <x v="1"/>
  </r>
  <r>
    <s v="Call_7710"/>
    <x v="8"/>
    <n v="76"/>
    <x v="0"/>
    <n v="140"/>
    <n v="3.7"/>
    <x v="114"/>
    <n v="2023"/>
    <n v="2"/>
    <n v="5"/>
    <x v="4"/>
    <x v="1"/>
    <x v="0"/>
    <x v="0"/>
    <x v="2"/>
  </r>
  <r>
    <s v="Call_7711"/>
    <x v="11"/>
    <n v="73"/>
    <x v="1"/>
    <n v="66"/>
    <n v="4.8"/>
    <x v="114"/>
    <n v="2023"/>
    <n v="2"/>
    <n v="5"/>
    <x v="4"/>
    <x v="1"/>
    <x v="0"/>
    <x v="0"/>
    <x v="0"/>
  </r>
  <r>
    <s v="Call_7712"/>
    <x v="6"/>
    <n v="119"/>
    <x v="2"/>
    <n v="105"/>
    <n v="4.7"/>
    <x v="114"/>
    <n v="2023"/>
    <n v="2"/>
    <n v="5"/>
    <x v="4"/>
    <x v="1"/>
    <x v="0"/>
    <x v="0"/>
    <x v="0"/>
  </r>
  <r>
    <s v="Call_7713"/>
    <x v="0"/>
    <n v="135"/>
    <x v="3"/>
    <n v="104"/>
    <n v="4.0999999999999996"/>
    <x v="115"/>
    <n v="2023"/>
    <n v="2"/>
    <n v="5"/>
    <x v="4"/>
    <x v="2"/>
    <x v="0"/>
    <x v="1"/>
    <x v="2"/>
  </r>
  <r>
    <s v="Call_7714"/>
    <x v="7"/>
    <n v="41"/>
    <x v="4"/>
    <n v="123"/>
    <n v="3.2"/>
    <x v="115"/>
    <n v="2023"/>
    <n v="2"/>
    <n v="5"/>
    <x v="4"/>
    <x v="2"/>
    <x v="0"/>
    <x v="2"/>
    <x v="1"/>
  </r>
  <r>
    <s v="Call_7715"/>
    <x v="2"/>
    <n v="35"/>
    <x v="3"/>
    <n v="215"/>
    <n v="4.3"/>
    <x v="116"/>
    <n v="2023"/>
    <n v="2"/>
    <n v="5"/>
    <x v="4"/>
    <x v="3"/>
    <x v="0"/>
    <x v="2"/>
    <x v="2"/>
  </r>
  <r>
    <s v="Call_7717"/>
    <x v="9"/>
    <n v="61"/>
    <x v="4"/>
    <n v="115"/>
    <n v="3.7"/>
    <x v="116"/>
    <n v="2023"/>
    <n v="2"/>
    <n v="5"/>
    <x v="4"/>
    <x v="3"/>
    <x v="0"/>
    <x v="0"/>
    <x v="2"/>
  </r>
  <r>
    <s v="Call_7718"/>
    <x v="0"/>
    <n v="91"/>
    <x v="4"/>
    <n v="124"/>
    <n v="3.9"/>
    <x v="116"/>
    <n v="2023"/>
    <n v="2"/>
    <n v="5"/>
    <x v="4"/>
    <x v="3"/>
    <x v="0"/>
    <x v="0"/>
    <x v="2"/>
  </r>
  <r>
    <s v="Call_7719"/>
    <x v="13"/>
    <n v="30"/>
    <x v="4"/>
    <n v="205"/>
    <n v="4.5"/>
    <x v="117"/>
    <n v="2023"/>
    <n v="2"/>
    <n v="5"/>
    <x v="4"/>
    <x v="4"/>
    <x v="0"/>
    <x v="3"/>
    <x v="2"/>
  </r>
  <r>
    <s v="Call_7720"/>
    <x v="14"/>
    <n v="111"/>
    <x v="2"/>
    <n v="90"/>
    <n v="2.8"/>
    <x v="117"/>
    <n v="2023"/>
    <n v="2"/>
    <n v="5"/>
    <x v="4"/>
    <x v="4"/>
    <x v="0"/>
    <x v="0"/>
    <x v="1"/>
  </r>
  <r>
    <s v="Call_7721"/>
    <x v="9"/>
    <n v="81"/>
    <x v="1"/>
    <n v="92"/>
    <n v="4.9000000000000004"/>
    <x v="117"/>
    <n v="2023"/>
    <n v="2"/>
    <n v="5"/>
    <x v="4"/>
    <x v="4"/>
    <x v="0"/>
    <x v="0"/>
    <x v="0"/>
  </r>
  <r>
    <s v="Call_7722"/>
    <x v="8"/>
    <n v="40"/>
    <x v="3"/>
    <n v="108"/>
    <n v="4.2"/>
    <x v="118"/>
    <n v="2023"/>
    <n v="2"/>
    <n v="5"/>
    <x v="4"/>
    <x v="6"/>
    <x v="0"/>
    <x v="2"/>
    <x v="2"/>
  </r>
  <r>
    <s v="Call_7723"/>
    <x v="14"/>
    <n v="143"/>
    <x v="3"/>
    <n v="54"/>
    <n v="4.4000000000000004"/>
    <x v="118"/>
    <n v="2023"/>
    <n v="2"/>
    <n v="5"/>
    <x v="4"/>
    <x v="6"/>
    <x v="0"/>
    <x v="1"/>
    <x v="2"/>
  </r>
  <r>
    <s v="Call_7724"/>
    <x v="8"/>
    <n v="70"/>
    <x v="3"/>
    <n v="44"/>
    <n v="3.5"/>
    <x v="119"/>
    <n v="2023"/>
    <n v="2"/>
    <n v="5"/>
    <x v="4"/>
    <x v="0"/>
    <x v="0"/>
    <x v="0"/>
    <x v="2"/>
  </r>
  <r>
    <s v="Call_7725"/>
    <x v="11"/>
    <n v="137"/>
    <x v="3"/>
    <n v="44"/>
    <n v="4.7"/>
    <x v="119"/>
    <n v="2023"/>
    <n v="2"/>
    <n v="5"/>
    <x v="4"/>
    <x v="0"/>
    <x v="0"/>
    <x v="1"/>
    <x v="0"/>
  </r>
  <r>
    <s v="Call_7726"/>
    <x v="0"/>
    <n v="52"/>
    <x v="1"/>
    <n v="37"/>
    <n v="4.9000000000000004"/>
    <x v="120"/>
    <n v="2023"/>
    <n v="2"/>
    <n v="5"/>
    <x v="4"/>
    <x v="1"/>
    <x v="0"/>
    <x v="2"/>
    <x v="0"/>
  </r>
  <r>
    <s v="Call_7727"/>
    <x v="1"/>
    <n v="31"/>
    <x v="2"/>
    <n v="180"/>
    <n v="4.5"/>
    <x v="120"/>
    <n v="2023"/>
    <n v="2"/>
    <n v="5"/>
    <x v="4"/>
    <x v="1"/>
    <x v="0"/>
    <x v="2"/>
    <x v="2"/>
  </r>
  <r>
    <s v="Call_7728"/>
    <x v="0"/>
    <n v="114"/>
    <x v="4"/>
    <n v="105"/>
    <n v="4.9000000000000004"/>
    <x v="120"/>
    <n v="2023"/>
    <n v="2"/>
    <n v="5"/>
    <x v="4"/>
    <x v="1"/>
    <x v="0"/>
    <x v="0"/>
    <x v="0"/>
  </r>
  <r>
    <s v="Call_7729"/>
    <x v="11"/>
    <n v="73"/>
    <x v="0"/>
    <n v="87"/>
    <n v="3.6"/>
    <x v="120"/>
    <n v="2023"/>
    <n v="2"/>
    <n v="5"/>
    <x v="4"/>
    <x v="1"/>
    <x v="0"/>
    <x v="0"/>
    <x v="2"/>
  </r>
  <r>
    <s v="Call_7730"/>
    <x v="9"/>
    <n v="25"/>
    <x v="2"/>
    <n v="52"/>
    <n v="3.8"/>
    <x v="120"/>
    <n v="2023"/>
    <n v="2"/>
    <n v="5"/>
    <x v="4"/>
    <x v="1"/>
    <x v="0"/>
    <x v="3"/>
    <x v="2"/>
  </r>
  <r>
    <s v="Call_7731"/>
    <x v="4"/>
    <n v="44"/>
    <x v="4"/>
    <n v="63"/>
    <n v="3.5"/>
    <x v="120"/>
    <n v="2023"/>
    <n v="2"/>
    <n v="5"/>
    <x v="4"/>
    <x v="1"/>
    <x v="0"/>
    <x v="2"/>
    <x v="2"/>
  </r>
  <r>
    <s v="Call_7732"/>
    <x v="10"/>
    <n v="34"/>
    <x v="1"/>
    <n v="195"/>
    <n v="4.8"/>
    <x v="121"/>
    <n v="2023"/>
    <n v="2"/>
    <n v="5"/>
    <x v="4"/>
    <x v="2"/>
    <x v="0"/>
    <x v="2"/>
    <x v="0"/>
  </r>
  <r>
    <s v="Call_7733"/>
    <x v="14"/>
    <n v="89"/>
    <x v="3"/>
    <n v="176"/>
    <n v="4.5"/>
    <x v="122"/>
    <n v="2023"/>
    <n v="2"/>
    <n v="5"/>
    <x v="4"/>
    <x v="3"/>
    <x v="0"/>
    <x v="0"/>
    <x v="2"/>
  </r>
  <r>
    <s v="Call_7734"/>
    <x v="6"/>
    <n v="54"/>
    <x v="2"/>
    <n v="31"/>
    <n v="3.3"/>
    <x v="123"/>
    <n v="2023"/>
    <n v="2"/>
    <n v="5"/>
    <x v="4"/>
    <x v="4"/>
    <x v="0"/>
    <x v="2"/>
    <x v="1"/>
  </r>
  <r>
    <s v="Call_7735"/>
    <x v="2"/>
    <n v="25"/>
    <x v="2"/>
    <n v="27"/>
    <n v="3.2"/>
    <x v="124"/>
    <n v="2023"/>
    <n v="2"/>
    <n v="5"/>
    <x v="4"/>
    <x v="5"/>
    <x v="0"/>
    <x v="3"/>
    <x v="1"/>
  </r>
  <r>
    <s v="Call_7736"/>
    <x v="7"/>
    <n v="91"/>
    <x v="3"/>
    <n v="76"/>
    <n v="4.9000000000000004"/>
    <x v="124"/>
    <n v="2023"/>
    <n v="2"/>
    <n v="5"/>
    <x v="4"/>
    <x v="5"/>
    <x v="0"/>
    <x v="0"/>
    <x v="0"/>
  </r>
  <r>
    <s v="Call_7737"/>
    <x v="4"/>
    <n v="144"/>
    <x v="4"/>
    <n v="62"/>
    <n v="4.8"/>
    <x v="124"/>
    <n v="2023"/>
    <n v="2"/>
    <n v="5"/>
    <x v="4"/>
    <x v="5"/>
    <x v="0"/>
    <x v="1"/>
    <x v="0"/>
  </r>
  <r>
    <s v="Call_7738"/>
    <x v="7"/>
    <n v="81"/>
    <x v="1"/>
    <n v="100"/>
    <n v="1.3"/>
    <x v="125"/>
    <n v="2023"/>
    <n v="2"/>
    <n v="5"/>
    <x v="4"/>
    <x v="0"/>
    <x v="0"/>
    <x v="0"/>
    <x v="4"/>
  </r>
  <r>
    <s v="Call_7739"/>
    <x v="13"/>
    <n v="92"/>
    <x v="2"/>
    <n v="44"/>
    <n v="3.1"/>
    <x v="125"/>
    <n v="2023"/>
    <n v="2"/>
    <n v="5"/>
    <x v="4"/>
    <x v="0"/>
    <x v="0"/>
    <x v="0"/>
    <x v="1"/>
  </r>
  <r>
    <s v="Call_7740"/>
    <x v="2"/>
    <n v="115"/>
    <x v="3"/>
    <n v="168"/>
    <n v="3.4"/>
    <x v="125"/>
    <n v="2023"/>
    <n v="2"/>
    <n v="5"/>
    <x v="4"/>
    <x v="0"/>
    <x v="0"/>
    <x v="0"/>
    <x v="1"/>
  </r>
  <r>
    <s v="Call_7741"/>
    <x v="5"/>
    <n v="56"/>
    <x v="3"/>
    <n v="200"/>
    <n v="4.5999999999999996"/>
    <x v="126"/>
    <n v="2023"/>
    <n v="2"/>
    <n v="5"/>
    <x v="4"/>
    <x v="1"/>
    <x v="0"/>
    <x v="2"/>
    <x v="0"/>
  </r>
  <r>
    <s v="Call_7742"/>
    <x v="1"/>
    <n v="154"/>
    <x v="2"/>
    <n v="84"/>
    <n v="4.3"/>
    <x v="126"/>
    <n v="2023"/>
    <n v="2"/>
    <n v="5"/>
    <x v="4"/>
    <x v="1"/>
    <x v="0"/>
    <x v="1"/>
    <x v="2"/>
  </r>
  <r>
    <s v="Call_7743"/>
    <x v="14"/>
    <n v="51"/>
    <x v="3"/>
    <n v="117"/>
    <n v="2.7"/>
    <x v="127"/>
    <n v="2023"/>
    <n v="2"/>
    <n v="5"/>
    <x v="4"/>
    <x v="2"/>
    <x v="0"/>
    <x v="2"/>
    <x v="1"/>
  </r>
  <r>
    <s v="Call_7744"/>
    <x v="10"/>
    <n v="21"/>
    <x v="1"/>
    <n v="63"/>
    <n v="4.2"/>
    <x v="127"/>
    <n v="2023"/>
    <n v="2"/>
    <n v="5"/>
    <x v="4"/>
    <x v="2"/>
    <x v="0"/>
    <x v="3"/>
    <x v="2"/>
  </r>
  <r>
    <s v="Call_7745"/>
    <x v="2"/>
    <n v="80"/>
    <x v="3"/>
    <n v="145"/>
    <n v="4.9000000000000004"/>
    <x v="128"/>
    <n v="2023"/>
    <n v="2"/>
    <n v="5"/>
    <x v="4"/>
    <x v="3"/>
    <x v="0"/>
    <x v="0"/>
    <x v="0"/>
  </r>
  <r>
    <s v="Call_7746"/>
    <x v="14"/>
    <n v="139"/>
    <x v="2"/>
    <n v="220"/>
    <n v="3.2"/>
    <x v="128"/>
    <n v="2023"/>
    <n v="2"/>
    <n v="5"/>
    <x v="4"/>
    <x v="3"/>
    <x v="0"/>
    <x v="1"/>
    <x v="1"/>
  </r>
  <r>
    <s v="Call_7747"/>
    <x v="8"/>
    <n v="50"/>
    <x v="1"/>
    <n v="26"/>
    <n v="4.7"/>
    <x v="128"/>
    <n v="2023"/>
    <n v="2"/>
    <n v="5"/>
    <x v="4"/>
    <x v="3"/>
    <x v="0"/>
    <x v="2"/>
    <x v="0"/>
  </r>
  <r>
    <s v="Call_7748"/>
    <x v="2"/>
    <n v="88"/>
    <x v="3"/>
    <n v="78"/>
    <n v="4.3"/>
    <x v="128"/>
    <n v="2023"/>
    <n v="2"/>
    <n v="5"/>
    <x v="4"/>
    <x v="3"/>
    <x v="0"/>
    <x v="0"/>
    <x v="2"/>
  </r>
  <r>
    <s v="Call_7749"/>
    <x v="6"/>
    <n v="19"/>
    <x v="4"/>
    <n v="132"/>
    <n v="4.3"/>
    <x v="129"/>
    <n v="2023"/>
    <n v="2"/>
    <n v="5"/>
    <x v="4"/>
    <x v="4"/>
    <x v="0"/>
    <x v="3"/>
    <x v="2"/>
  </r>
  <r>
    <s v="Call_7750"/>
    <x v="9"/>
    <n v="104"/>
    <x v="4"/>
    <n v="68"/>
    <n v="3.7"/>
    <x v="130"/>
    <n v="2023"/>
    <n v="2"/>
    <n v="5"/>
    <x v="4"/>
    <x v="5"/>
    <x v="0"/>
    <x v="0"/>
    <x v="2"/>
  </r>
  <r>
    <s v="Call_7751"/>
    <x v="1"/>
    <n v="67"/>
    <x v="2"/>
    <n v="129"/>
    <n v="4.7"/>
    <x v="131"/>
    <n v="2023"/>
    <n v="2"/>
    <n v="5"/>
    <x v="4"/>
    <x v="0"/>
    <x v="0"/>
    <x v="0"/>
    <x v="0"/>
  </r>
  <r>
    <s v="Call_7752"/>
    <x v="12"/>
    <n v="107"/>
    <x v="4"/>
    <n v="115"/>
    <n v="4.9000000000000004"/>
    <x v="131"/>
    <n v="2023"/>
    <n v="2"/>
    <n v="5"/>
    <x v="4"/>
    <x v="0"/>
    <x v="0"/>
    <x v="0"/>
    <x v="0"/>
  </r>
  <r>
    <s v="Call_7753"/>
    <x v="12"/>
    <n v="93"/>
    <x v="4"/>
    <n v="128"/>
    <n v="3.9"/>
    <x v="131"/>
    <n v="2023"/>
    <n v="2"/>
    <n v="5"/>
    <x v="4"/>
    <x v="0"/>
    <x v="0"/>
    <x v="0"/>
    <x v="2"/>
  </r>
  <r>
    <s v="Call_7754"/>
    <x v="12"/>
    <n v="117"/>
    <x v="2"/>
    <n v="90"/>
    <n v="4.5"/>
    <x v="131"/>
    <n v="2023"/>
    <n v="2"/>
    <n v="5"/>
    <x v="4"/>
    <x v="0"/>
    <x v="0"/>
    <x v="0"/>
    <x v="2"/>
  </r>
  <r>
    <s v="Call_7755"/>
    <x v="8"/>
    <n v="76"/>
    <x v="3"/>
    <n v="39"/>
    <n v="4.5999999999999996"/>
    <x v="132"/>
    <n v="2023"/>
    <n v="2"/>
    <n v="5"/>
    <x v="4"/>
    <x v="1"/>
    <x v="0"/>
    <x v="0"/>
    <x v="0"/>
  </r>
  <r>
    <s v="Call_7756"/>
    <x v="6"/>
    <n v="64"/>
    <x v="4"/>
    <n v="132"/>
    <n v="3.3"/>
    <x v="132"/>
    <n v="2023"/>
    <n v="2"/>
    <n v="5"/>
    <x v="4"/>
    <x v="1"/>
    <x v="0"/>
    <x v="0"/>
    <x v="1"/>
  </r>
  <r>
    <s v="Call_7757"/>
    <x v="4"/>
    <n v="33"/>
    <x v="4"/>
    <n v="170"/>
    <n v="3.8"/>
    <x v="132"/>
    <n v="2023"/>
    <n v="2"/>
    <n v="5"/>
    <x v="4"/>
    <x v="1"/>
    <x v="0"/>
    <x v="2"/>
    <x v="2"/>
  </r>
  <r>
    <s v="Call_7758"/>
    <x v="12"/>
    <n v="115"/>
    <x v="2"/>
    <n v="42"/>
    <n v="4.7"/>
    <x v="132"/>
    <n v="2023"/>
    <n v="2"/>
    <n v="5"/>
    <x v="4"/>
    <x v="1"/>
    <x v="0"/>
    <x v="0"/>
    <x v="0"/>
  </r>
  <r>
    <s v="Call_7759"/>
    <x v="3"/>
    <n v="155"/>
    <x v="3"/>
    <n v="37"/>
    <n v="4"/>
    <x v="133"/>
    <n v="2023"/>
    <n v="2"/>
    <n v="5"/>
    <x v="4"/>
    <x v="2"/>
    <x v="0"/>
    <x v="1"/>
    <x v="2"/>
  </r>
  <r>
    <s v="Call_7760"/>
    <x v="1"/>
    <n v="117"/>
    <x v="3"/>
    <n v="88"/>
    <n v="4.7"/>
    <x v="133"/>
    <n v="2023"/>
    <n v="2"/>
    <n v="5"/>
    <x v="4"/>
    <x v="2"/>
    <x v="0"/>
    <x v="0"/>
    <x v="0"/>
  </r>
  <r>
    <s v="Call_7761"/>
    <x v="14"/>
    <n v="63"/>
    <x v="3"/>
    <n v="80"/>
    <n v="2.5"/>
    <x v="133"/>
    <n v="2023"/>
    <n v="2"/>
    <n v="5"/>
    <x v="4"/>
    <x v="2"/>
    <x v="0"/>
    <x v="0"/>
    <x v="3"/>
  </r>
  <r>
    <s v="Call_7762"/>
    <x v="6"/>
    <n v="59"/>
    <x v="0"/>
    <n v="123"/>
    <n v="3.6"/>
    <x v="134"/>
    <n v="2023"/>
    <n v="2"/>
    <n v="5"/>
    <x v="4"/>
    <x v="3"/>
    <x v="0"/>
    <x v="2"/>
    <x v="2"/>
  </r>
  <r>
    <s v="Call_7763"/>
    <x v="10"/>
    <n v="133"/>
    <x v="4"/>
    <n v="31"/>
    <n v="3.7"/>
    <x v="134"/>
    <n v="2023"/>
    <n v="2"/>
    <n v="5"/>
    <x v="4"/>
    <x v="3"/>
    <x v="0"/>
    <x v="1"/>
    <x v="2"/>
  </r>
  <r>
    <s v="Call_7764"/>
    <x v="13"/>
    <n v="101"/>
    <x v="1"/>
    <n v="205"/>
    <n v="3.9"/>
    <x v="134"/>
    <n v="2023"/>
    <n v="2"/>
    <n v="5"/>
    <x v="4"/>
    <x v="3"/>
    <x v="0"/>
    <x v="0"/>
    <x v="2"/>
  </r>
  <r>
    <s v="Call_7765"/>
    <x v="7"/>
    <n v="151"/>
    <x v="3"/>
    <n v="123"/>
    <n v="3.7"/>
    <x v="135"/>
    <n v="2023"/>
    <n v="2"/>
    <n v="5"/>
    <x v="4"/>
    <x v="4"/>
    <x v="0"/>
    <x v="1"/>
    <x v="2"/>
  </r>
  <r>
    <s v="Call_7766"/>
    <x v="4"/>
    <n v="146"/>
    <x v="4"/>
    <n v="123"/>
    <n v="4.3"/>
    <x v="135"/>
    <n v="2023"/>
    <n v="2"/>
    <n v="5"/>
    <x v="4"/>
    <x v="4"/>
    <x v="0"/>
    <x v="1"/>
    <x v="2"/>
  </r>
  <r>
    <s v="Call_7767"/>
    <x v="14"/>
    <n v="148"/>
    <x v="4"/>
    <n v="36"/>
    <n v="2.9"/>
    <x v="135"/>
    <n v="2023"/>
    <n v="2"/>
    <n v="5"/>
    <x v="4"/>
    <x v="4"/>
    <x v="0"/>
    <x v="1"/>
    <x v="1"/>
  </r>
  <r>
    <s v="Call_7768"/>
    <x v="7"/>
    <n v="81"/>
    <x v="4"/>
    <n v="116"/>
    <n v="4.3"/>
    <x v="135"/>
    <n v="2023"/>
    <n v="2"/>
    <n v="5"/>
    <x v="4"/>
    <x v="4"/>
    <x v="0"/>
    <x v="0"/>
    <x v="2"/>
  </r>
  <r>
    <s v="Call_7769"/>
    <x v="9"/>
    <n v="115"/>
    <x v="4"/>
    <n v="40"/>
    <n v="4.9000000000000004"/>
    <x v="135"/>
    <n v="2023"/>
    <n v="2"/>
    <n v="5"/>
    <x v="4"/>
    <x v="4"/>
    <x v="0"/>
    <x v="0"/>
    <x v="0"/>
  </r>
  <r>
    <s v="Call_7770"/>
    <x v="9"/>
    <n v="117"/>
    <x v="3"/>
    <n v="40"/>
    <n v="4"/>
    <x v="135"/>
    <n v="2023"/>
    <n v="2"/>
    <n v="5"/>
    <x v="4"/>
    <x v="4"/>
    <x v="0"/>
    <x v="0"/>
    <x v="2"/>
  </r>
  <r>
    <s v="Call_7771"/>
    <x v="13"/>
    <n v="110"/>
    <x v="2"/>
    <n v="82"/>
    <n v="4"/>
    <x v="136"/>
    <n v="2023"/>
    <n v="2"/>
    <n v="5"/>
    <x v="4"/>
    <x v="5"/>
    <x v="0"/>
    <x v="0"/>
    <x v="2"/>
  </r>
  <r>
    <s v="Call_7772"/>
    <x v="8"/>
    <n v="103"/>
    <x v="0"/>
    <n v="62"/>
    <n v="3.4"/>
    <x v="136"/>
    <n v="2023"/>
    <n v="2"/>
    <n v="5"/>
    <x v="4"/>
    <x v="5"/>
    <x v="0"/>
    <x v="0"/>
    <x v="1"/>
  </r>
  <r>
    <s v="Call_7773"/>
    <x v="3"/>
    <n v="45"/>
    <x v="0"/>
    <n v="135"/>
    <n v="3.9"/>
    <x v="136"/>
    <n v="2023"/>
    <n v="2"/>
    <n v="5"/>
    <x v="4"/>
    <x v="5"/>
    <x v="0"/>
    <x v="2"/>
    <x v="2"/>
  </r>
  <r>
    <s v="Call_7774"/>
    <x v="13"/>
    <n v="110"/>
    <x v="1"/>
    <n v="155"/>
    <n v="2.1"/>
    <x v="136"/>
    <n v="2023"/>
    <n v="2"/>
    <n v="5"/>
    <x v="4"/>
    <x v="5"/>
    <x v="0"/>
    <x v="0"/>
    <x v="3"/>
  </r>
  <r>
    <s v="Call_7775"/>
    <x v="6"/>
    <n v="43"/>
    <x v="2"/>
    <n v="37"/>
    <n v="4.9000000000000004"/>
    <x v="136"/>
    <n v="2023"/>
    <n v="2"/>
    <n v="5"/>
    <x v="4"/>
    <x v="5"/>
    <x v="0"/>
    <x v="2"/>
    <x v="0"/>
  </r>
  <r>
    <s v="Call_7776"/>
    <x v="13"/>
    <n v="104"/>
    <x v="3"/>
    <n v="56"/>
    <n v="3.4"/>
    <x v="137"/>
    <n v="2023"/>
    <n v="2"/>
    <n v="5"/>
    <x v="4"/>
    <x v="6"/>
    <x v="0"/>
    <x v="0"/>
    <x v="1"/>
  </r>
  <r>
    <s v="Call_7777"/>
    <x v="13"/>
    <n v="101"/>
    <x v="3"/>
    <n v="185"/>
    <n v="5"/>
    <x v="137"/>
    <n v="2023"/>
    <n v="2"/>
    <n v="5"/>
    <x v="4"/>
    <x v="6"/>
    <x v="0"/>
    <x v="0"/>
    <x v="0"/>
  </r>
  <r>
    <s v="Call_7778"/>
    <x v="0"/>
    <n v="55"/>
    <x v="2"/>
    <n v="145"/>
    <n v="4.5"/>
    <x v="138"/>
    <n v="2023"/>
    <n v="2"/>
    <n v="5"/>
    <x v="4"/>
    <x v="0"/>
    <x v="0"/>
    <x v="2"/>
    <x v="2"/>
  </r>
  <r>
    <s v="Call_7779"/>
    <x v="7"/>
    <n v="40"/>
    <x v="0"/>
    <n v="116"/>
    <n v="2.6"/>
    <x v="138"/>
    <n v="2023"/>
    <n v="2"/>
    <n v="5"/>
    <x v="4"/>
    <x v="0"/>
    <x v="0"/>
    <x v="2"/>
    <x v="1"/>
  </r>
  <r>
    <s v="Call_7780"/>
    <x v="6"/>
    <n v="122"/>
    <x v="4"/>
    <n v="45"/>
    <n v="4.2"/>
    <x v="138"/>
    <n v="2023"/>
    <n v="2"/>
    <n v="5"/>
    <x v="4"/>
    <x v="0"/>
    <x v="0"/>
    <x v="1"/>
    <x v="2"/>
  </r>
  <r>
    <s v="Call_7781"/>
    <x v="4"/>
    <n v="98"/>
    <x v="3"/>
    <n v="35"/>
    <n v="4.5"/>
    <x v="139"/>
    <n v="2023"/>
    <n v="2"/>
    <n v="5"/>
    <x v="4"/>
    <x v="1"/>
    <x v="0"/>
    <x v="0"/>
    <x v="2"/>
  </r>
  <r>
    <s v="Call_7782"/>
    <x v="9"/>
    <n v="110"/>
    <x v="0"/>
    <n v="100"/>
    <n v="4.4000000000000004"/>
    <x v="139"/>
    <n v="2023"/>
    <n v="2"/>
    <n v="5"/>
    <x v="4"/>
    <x v="1"/>
    <x v="0"/>
    <x v="0"/>
    <x v="2"/>
  </r>
  <r>
    <s v="Call_7783"/>
    <x v="9"/>
    <n v="62"/>
    <x v="2"/>
    <n v="125"/>
    <n v="3.5"/>
    <x v="140"/>
    <n v="2023"/>
    <n v="2"/>
    <n v="5"/>
    <x v="4"/>
    <x v="2"/>
    <x v="0"/>
    <x v="0"/>
    <x v="2"/>
  </r>
  <r>
    <s v="Call_7784"/>
    <x v="6"/>
    <n v="134"/>
    <x v="4"/>
    <n v="120"/>
    <n v="3"/>
    <x v="140"/>
    <n v="2023"/>
    <n v="2"/>
    <n v="5"/>
    <x v="4"/>
    <x v="2"/>
    <x v="0"/>
    <x v="1"/>
    <x v="1"/>
  </r>
  <r>
    <s v="Call_7785"/>
    <x v="11"/>
    <n v="94"/>
    <x v="1"/>
    <n v="180"/>
    <n v="4.7"/>
    <x v="140"/>
    <n v="2023"/>
    <n v="2"/>
    <n v="5"/>
    <x v="4"/>
    <x v="2"/>
    <x v="0"/>
    <x v="0"/>
    <x v="0"/>
  </r>
  <r>
    <s v="Call_7786"/>
    <x v="5"/>
    <n v="63"/>
    <x v="0"/>
    <n v="44"/>
    <n v="3"/>
    <x v="140"/>
    <n v="2023"/>
    <n v="2"/>
    <n v="5"/>
    <x v="4"/>
    <x v="2"/>
    <x v="0"/>
    <x v="0"/>
    <x v="1"/>
  </r>
  <r>
    <s v="Call_7787"/>
    <x v="10"/>
    <n v="95"/>
    <x v="4"/>
    <n v="86"/>
    <n v="3.6"/>
    <x v="140"/>
    <n v="2023"/>
    <n v="2"/>
    <n v="5"/>
    <x v="4"/>
    <x v="2"/>
    <x v="0"/>
    <x v="0"/>
    <x v="2"/>
  </r>
  <r>
    <s v="Call_7788"/>
    <x v="6"/>
    <n v="106"/>
    <x v="4"/>
    <n v="120"/>
    <n v="4.0999999999999996"/>
    <x v="141"/>
    <n v="2023"/>
    <n v="2"/>
    <n v="5"/>
    <x v="4"/>
    <x v="3"/>
    <x v="0"/>
    <x v="0"/>
    <x v="2"/>
  </r>
  <r>
    <s v="Call_7789"/>
    <x v="3"/>
    <n v="94"/>
    <x v="1"/>
    <n v="100"/>
    <n v="3.7"/>
    <x v="141"/>
    <n v="2023"/>
    <n v="2"/>
    <n v="5"/>
    <x v="4"/>
    <x v="3"/>
    <x v="0"/>
    <x v="0"/>
    <x v="2"/>
  </r>
  <r>
    <s v="Call_7790"/>
    <x v="3"/>
    <n v="51"/>
    <x v="1"/>
    <n v="108"/>
    <n v="4.5"/>
    <x v="142"/>
    <n v="2023"/>
    <n v="2"/>
    <n v="6"/>
    <x v="5"/>
    <x v="4"/>
    <x v="0"/>
    <x v="2"/>
    <x v="2"/>
  </r>
  <r>
    <s v="Call_7791"/>
    <x v="14"/>
    <n v="39"/>
    <x v="1"/>
    <n v="46"/>
    <n v="4.5999999999999996"/>
    <x v="142"/>
    <n v="2023"/>
    <n v="2"/>
    <n v="6"/>
    <x v="5"/>
    <x v="4"/>
    <x v="0"/>
    <x v="2"/>
    <x v="0"/>
  </r>
  <r>
    <s v="Call_7792"/>
    <x v="7"/>
    <n v="111"/>
    <x v="4"/>
    <n v="210"/>
    <n v="4.3"/>
    <x v="142"/>
    <n v="2023"/>
    <n v="2"/>
    <n v="6"/>
    <x v="5"/>
    <x v="4"/>
    <x v="0"/>
    <x v="0"/>
    <x v="2"/>
  </r>
  <r>
    <s v="Call_7793"/>
    <x v="12"/>
    <n v="141"/>
    <x v="2"/>
    <n v="54"/>
    <n v="4.8"/>
    <x v="143"/>
    <n v="2023"/>
    <n v="2"/>
    <n v="6"/>
    <x v="5"/>
    <x v="6"/>
    <x v="0"/>
    <x v="1"/>
    <x v="0"/>
  </r>
  <r>
    <s v="Call_7794"/>
    <x v="5"/>
    <n v="147"/>
    <x v="4"/>
    <n v="115"/>
    <n v="4.7"/>
    <x v="143"/>
    <n v="2023"/>
    <n v="2"/>
    <n v="6"/>
    <x v="5"/>
    <x v="6"/>
    <x v="0"/>
    <x v="1"/>
    <x v="0"/>
  </r>
  <r>
    <s v="Call_7795"/>
    <x v="11"/>
    <n v="49"/>
    <x v="1"/>
    <n v="100"/>
    <n v="2.2000000000000002"/>
    <x v="144"/>
    <n v="2023"/>
    <n v="2"/>
    <n v="6"/>
    <x v="5"/>
    <x v="0"/>
    <x v="0"/>
    <x v="2"/>
    <x v="3"/>
  </r>
  <r>
    <s v="Call_7796"/>
    <x v="2"/>
    <n v="75"/>
    <x v="4"/>
    <n v="38"/>
    <n v="4.4000000000000004"/>
    <x v="144"/>
    <n v="2023"/>
    <n v="2"/>
    <n v="6"/>
    <x v="5"/>
    <x v="0"/>
    <x v="0"/>
    <x v="0"/>
    <x v="2"/>
  </r>
  <r>
    <s v="Call_7797"/>
    <x v="12"/>
    <n v="48"/>
    <x v="2"/>
    <n v="120"/>
    <n v="4.0999999999999996"/>
    <x v="145"/>
    <n v="2023"/>
    <n v="2"/>
    <n v="6"/>
    <x v="5"/>
    <x v="1"/>
    <x v="0"/>
    <x v="2"/>
    <x v="2"/>
  </r>
  <r>
    <s v="Call_7798"/>
    <x v="9"/>
    <n v="48"/>
    <x v="2"/>
    <n v="120"/>
    <n v="4.0999999999999996"/>
    <x v="145"/>
    <n v="2023"/>
    <n v="2"/>
    <n v="6"/>
    <x v="5"/>
    <x v="1"/>
    <x v="0"/>
    <x v="2"/>
    <x v="2"/>
  </r>
  <r>
    <s v="Call_7799"/>
    <x v="1"/>
    <n v="138"/>
    <x v="1"/>
    <n v="29"/>
    <n v="4.4000000000000004"/>
    <x v="145"/>
    <n v="2023"/>
    <n v="2"/>
    <n v="6"/>
    <x v="5"/>
    <x v="1"/>
    <x v="0"/>
    <x v="1"/>
    <x v="2"/>
  </r>
  <r>
    <s v="Call_7800"/>
    <x v="10"/>
    <n v="144"/>
    <x v="1"/>
    <n v="25"/>
    <n v="3.7"/>
    <x v="146"/>
    <n v="2023"/>
    <n v="2"/>
    <n v="6"/>
    <x v="5"/>
    <x v="2"/>
    <x v="0"/>
    <x v="1"/>
    <x v="2"/>
  </r>
  <r>
    <s v="Call_7801"/>
    <x v="13"/>
    <n v="119"/>
    <x v="4"/>
    <n v="116"/>
    <n v="3.8"/>
    <x v="147"/>
    <n v="2023"/>
    <n v="2"/>
    <n v="6"/>
    <x v="5"/>
    <x v="3"/>
    <x v="0"/>
    <x v="0"/>
    <x v="2"/>
  </r>
  <r>
    <s v="Call_7802"/>
    <x v="1"/>
    <n v="101"/>
    <x v="2"/>
    <n v="132"/>
    <n v="4.3"/>
    <x v="148"/>
    <n v="2023"/>
    <n v="2"/>
    <n v="6"/>
    <x v="5"/>
    <x v="4"/>
    <x v="0"/>
    <x v="0"/>
    <x v="2"/>
  </r>
  <r>
    <s v="Call_7803"/>
    <x v="10"/>
    <n v="59"/>
    <x v="4"/>
    <n v="90"/>
    <n v="3.5"/>
    <x v="149"/>
    <n v="2023"/>
    <n v="2"/>
    <n v="6"/>
    <x v="5"/>
    <x v="5"/>
    <x v="0"/>
    <x v="2"/>
    <x v="2"/>
  </r>
  <r>
    <s v="Call_7804"/>
    <x v="7"/>
    <n v="125"/>
    <x v="0"/>
    <n v="87"/>
    <n v="4.0999999999999996"/>
    <x v="149"/>
    <n v="2023"/>
    <n v="2"/>
    <n v="6"/>
    <x v="5"/>
    <x v="5"/>
    <x v="0"/>
    <x v="1"/>
    <x v="2"/>
  </r>
  <r>
    <s v="Call_7805"/>
    <x v="6"/>
    <n v="147"/>
    <x v="4"/>
    <n v="140"/>
    <n v="4.2"/>
    <x v="149"/>
    <n v="2023"/>
    <n v="2"/>
    <n v="6"/>
    <x v="5"/>
    <x v="5"/>
    <x v="0"/>
    <x v="1"/>
    <x v="2"/>
  </r>
  <r>
    <s v="Call_7806"/>
    <x v="8"/>
    <n v="76"/>
    <x v="4"/>
    <n v="164"/>
    <n v="4.5"/>
    <x v="149"/>
    <n v="2023"/>
    <n v="2"/>
    <n v="6"/>
    <x v="5"/>
    <x v="5"/>
    <x v="0"/>
    <x v="0"/>
    <x v="2"/>
  </r>
  <r>
    <s v="Call_7807"/>
    <x v="5"/>
    <n v="99"/>
    <x v="2"/>
    <n v="180"/>
    <n v="3.8"/>
    <x v="150"/>
    <n v="2023"/>
    <n v="2"/>
    <n v="6"/>
    <x v="5"/>
    <x v="6"/>
    <x v="0"/>
    <x v="0"/>
    <x v="2"/>
  </r>
  <r>
    <s v="Call_7808"/>
    <x v="14"/>
    <n v="111"/>
    <x v="3"/>
    <n v="22"/>
    <n v="4.0999999999999996"/>
    <x v="151"/>
    <n v="2023"/>
    <n v="2"/>
    <n v="6"/>
    <x v="5"/>
    <x v="0"/>
    <x v="0"/>
    <x v="0"/>
    <x v="2"/>
  </r>
  <r>
    <s v="Call_7809"/>
    <x v="4"/>
    <n v="147"/>
    <x v="0"/>
    <n v="82"/>
    <n v="4.4000000000000004"/>
    <x v="151"/>
    <n v="2023"/>
    <n v="2"/>
    <n v="6"/>
    <x v="5"/>
    <x v="0"/>
    <x v="0"/>
    <x v="1"/>
    <x v="2"/>
  </r>
  <r>
    <s v="Call_7810"/>
    <x v="0"/>
    <n v="141"/>
    <x v="2"/>
    <n v="100"/>
    <n v="4.5999999999999996"/>
    <x v="151"/>
    <n v="2023"/>
    <n v="2"/>
    <n v="6"/>
    <x v="5"/>
    <x v="0"/>
    <x v="0"/>
    <x v="1"/>
    <x v="0"/>
  </r>
  <r>
    <s v="Call_7811"/>
    <x v="8"/>
    <n v="71"/>
    <x v="4"/>
    <n v="52"/>
    <n v="3.4"/>
    <x v="152"/>
    <n v="2023"/>
    <n v="2"/>
    <n v="6"/>
    <x v="5"/>
    <x v="1"/>
    <x v="0"/>
    <x v="0"/>
    <x v="1"/>
  </r>
  <r>
    <s v="Call_7812"/>
    <x v="8"/>
    <n v="121"/>
    <x v="0"/>
    <n v="84"/>
    <n v="4.5999999999999996"/>
    <x v="153"/>
    <n v="2023"/>
    <n v="2"/>
    <n v="6"/>
    <x v="5"/>
    <x v="2"/>
    <x v="0"/>
    <x v="1"/>
    <x v="0"/>
  </r>
  <r>
    <s v="Call_7813"/>
    <x v="8"/>
    <n v="60"/>
    <x v="0"/>
    <n v="37"/>
    <n v="3.9"/>
    <x v="153"/>
    <n v="2023"/>
    <n v="2"/>
    <n v="6"/>
    <x v="5"/>
    <x v="2"/>
    <x v="0"/>
    <x v="2"/>
    <x v="2"/>
  </r>
  <r>
    <s v="Call_7814"/>
    <x v="11"/>
    <n v="158"/>
    <x v="2"/>
    <n v="190"/>
    <n v="4"/>
    <x v="154"/>
    <n v="2023"/>
    <n v="2"/>
    <n v="6"/>
    <x v="5"/>
    <x v="3"/>
    <x v="0"/>
    <x v="1"/>
    <x v="2"/>
  </r>
  <r>
    <s v="Call_7815"/>
    <x v="6"/>
    <n v="159"/>
    <x v="1"/>
    <n v="66"/>
    <n v="3.4"/>
    <x v="154"/>
    <n v="2023"/>
    <n v="2"/>
    <n v="6"/>
    <x v="5"/>
    <x v="3"/>
    <x v="0"/>
    <x v="1"/>
    <x v="1"/>
  </r>
  <r>
    <s v="Call_7816"/>
    <x v="1"/>
    <n v="70"/>
    <x v="4"/>
    <n v="116"/>
    <n v="3.2"/>
    <x v="155"/>
    <n v="2023"/>
    <n v="2"/>
    <n v="6"/>
    <x v="5"/>
    <x v="4"/>
    <x v="0"/>
    <x v="0"/>
    <x v="1"/>
  </r>
  <r>
    <s v="Call_7817"/>
    <x v="12"/>
    <n v="78"/>
    <x v="3"/>
    <n v="28"/>
    <n v="3.9"/>
    <x v="155"/>
    <n v="2023"/>
    <n v="2"/>
    <n v="6"/>
    <x v="5"/>
    <x v="4"/>
    <x v="0"/>
    <x v="0"/>
    <x v="2"/>
  </r>
  <r>
    <s v="Call_7818"/>
    <x v="4"/>
    <n v="103"/>
    <x v="4"/>
    <n v="120"/>
    <n v="5"/>
    <x v="155"/>
    <n v="2023"/>
    <n v="2"/>
    <n v="6"/>
    <x v="5"/>
    <x v="4"/>
    <x v="0"/>
    <x v="0"/>
    <x v="0"/>
  </r>
  <r>
    <s v="Call_7819"/>
    <x v="2"/>
    <n v="108"/>
    <x v="2"/>
    <n v="56"/>
    <n v="3.5"/>
    <x v="155"/>
    <n v="2023"/>
    <n v="2"/>
    <n v="6"/>
    <x v="5"/>
    <x v="4"/>
    <x v="0"/>
    <x v="0"/>
    <x v="2"/>
  </r>
  <r>
    <s v="Call_7820"/>
    <x v="2"/>
    <n v="44"/>
    <x v="0"/>
    <n v="170"/>
    <n v="3.8"/>
    <x v="155"/>
    <n v="2023"/>
    <n v="2"/>
    <n v="6"/>
    <x v="5"/>
    <x v="4"/>
    <x v="0"/>
    <x v="2"/>
    <x v="2"/>
  </r>
  <r>
    <s v="Call_7821"/>
    <x v="12"/>
    <n v="127"/>
    <x v="2"/>
    <n v="200"/>
    <n v="4.8"/>
    <x v="156"/>
    <n v="2023"/>
    <n v="2"/>
    <n v="6"/>
    <x v="5"/>
    <x v="5"/>
    <x v="0"/>
    <x v="1"/>
    <x v="0"/>
  </r>
  <r>
    <s v="Call_7822"/>
    <x v="4"/>
    <n v="132"/>
    <x v="4"/>
    <n v="50"/>
    <n v="4.2"/>
    <x v="157"/>
    <n v="2023"/>
    <n v="2"/>
    <n v="6"/>
    <x v="5"/>
    <x v="6"/>
    <x v="0"/>
    <x v="1"/>
    <x v="2"/>
  </r>
  <r>
    <s v="Call_7823"/>
    <x v="0"/>
    <n v="106"/>
    <x v="3"/>
    <n v="112"/>
    <n v="3.7"/>
    <x v="157"/>
    <n v="2023"/>
    <n v="2"/>
    <n v="6"/>
    <x v="5"/>
    <x v="6"/>
    <x v="0"/>
    <x v="0"/>
    <x v="2"/>
  </r>
  <r>
    <s v="Call_7824"/>
    <x v="14"/>
    <n v="107"/>
    <x v="4"/>
    <n v="39"/>
    <n v="4.8"/>
    <x v="158"/>
    <n v="2023"/>
    <n v="2"/>
    <n v="6"/>
    <x v="5"/>
    <x v="0"/>
    <x v="0"/>
    <x v="0"/>
    <x v="0"/>
  </r>
  <r>
    <s v="Call_7825"/>
    <x v="6"/>
    <n v="85"/>
    <x v="3"/>
    <n v="38"/>
    <n v="4.8"/>
    <x v="158"/>
    <n v="2023"/>
    <n v="2"/>
    <n v="6"/>
    <x v="5"/>
    <x v="0"/>
    <x v="0"/>
    <x v="0"/>
    <x v="0"/>
  </r>
  <r>
    <s v="Call_7826"/>
    <x v="5"/>
    <n v="49"/>
    <x v="4"/>
    <n v="84"/>
    <n v="2.9"/>
    <x v="159"/>
    <n v="2023"/>
    <n v="2"/>
    <n v="6"/>
    <x v="5"/>
    <x v="1"/>
    <x v="0"/>
    <x v="2"/>
    <x v="1"/>
  </r>
  <r>
    <s v="Call_7827"/>
    <x v="8"/>
    <n v="117"/>
    <x v="2"/>
    <n v="82"/>
    <n v="3.5"/>
    <x v="160"/>
    <n v="2023"/>
    <n v="2"/>
    <n v="6"/>
    <x v="5"/>
    <x v="2"/>
    <x v="0"/>
    <x v="0"/>
    <x v="2"/>
  </r>
  <r>
    <s v="Call_7829"/>
    <x v="2"/>
    <n v="130"/>
    <x v="1"/>
    <n v="87"/>
    <n v="3.4"/>
    <x v="161"/>
    <n v="2023"/>
    <n v="2"/>
    <n v="6"/>
    <x v="5"/>
    <x v="3"/>
    <x v="0"/>
    <x v="1"/>
    <x v="1"/>
  </r>
  <r>
    <s v="Call_7830"/>
    <x v="2"/>
    <n v="73"/>
    <x v="1"/>
    <n v="75"/>
    <n v="2.7"/>
    <x v="161"/>
    <n v="2023"/>
    <n v="2"/>
    <n v="6"/>
    <x v="5"/>
    <x v="3"/>
    <x v="0"/>
    <x v="0"/>
    <x v="1"/>
  </r>
  <r>
    <s v="Call_7831"/>
    <x v="5"/>
    <n v="80"/>
    <x v="4"/>
    <n v="32"/>
    <n v="4.7"/>
    <x v="161"/>
    <n v="2023"/>
    <n v="2"/>
    <n v="6"/>
    <x v="5"/>
    <x v="3"/>
    <x v="0"/>
    <x v="0"/>
    <x v="0"/>
  </r>
  <r>
    <s v="Call_7832"/>
    <x v="13"/>
    <n v="44"/>
    <x v="2"/>
    <n v="33"/>
    <n v="3"/>
    <x v="161"/>
    <n v="2023"/>
    <n v="2"/>
    <n v="6"/>
    <x v="5"/>
    <x v="3"/>
    <x v="0"/>
    <x v="2"/>
    <x v="1"/>
  </r>
  <r>
    <s v="Call_7833"/>
    <x v="13"/>
    <n v="102"/>
    <x v="0"/>
    <n v="76"/>
    <n v="4.2"/>
    <x v="161"/>
    <n v="2023"/>
    <n v="2"/>
    <n v="6"/>
    <x v="5"/>
    <x v="3"/>
    <x v="0"/>
    <x v="0"/>
    <x v="2"/>
  </r>
  <r>
    <s v="Call_7834"/>
    <x v="11"/>
    <n v="74"/>
    <x v="0"/>
    <n v="117"/>
    <n v="4.8"/>
    <x v="161"/>
    <n v="2023"/>
    <n v="2"/>
    <n v="6"/>
    <x v="5"/>
    <x v="3"/>
    <x v="0"/>
    <x v="0"/>
    <x v="0"/>
  </r>
  <r>
    <s v="Call_7835"/>
    <x v="5"/>
    <n v="52"/>
    <x v="2"/>
    <n v="70"/>
    <n v="4.0999999999999996"/>
    <x v="162"/>
    <n v="2023"/>
    <n v="2"/>
    <n v="6"/>
    <x v="5"/>
    <x v="5"/>
    <x v="0"/>
    <x v="2"/>
    <x v="2"/>
  </r>
  <r>
    <s v="Call_7836"/>
    <x v="5"/>
    <n v="74"/>
    <x v="1"/>
    <n v="37"/>
    <n v="2.7"/>
    <x v="162"/>
    <n v="2023"/>
    <n v="2"/>
    <n v="6"/>
    <x v="5"/>
    <x v="5"/>
    <x v="0"/>
    <x v="0"/>
    <x v="1"/>
  </r>
  <r>
    <s v="Call_7837"/>
    <x v="2"/>
    <n v="96"/>
    <x v="0"/>
    <n v="46"/>
    <n v="2.9"/>
    <x v="162"/>
    <n v="2023"/>
    <n v="2"/>
    <n v="6"/>
    <x v="5"/>
    <x v="5"/>
    <x v="0"/>
    <x v="0"/>
    <x v="1"/>
  </r>
  <r>
    <s v="Call_7838"/>
    <x v="7"/>
    <n v="104"/>
    <x v="4"/>
    <n v="136"/>
    <n v="5"/>
    <x v="162"/>
    <n v="2023"/>
    <n v="2"/>
    <n v="6"/>
    <x v="5"/>
    <x v="5"/>
    <x v="0"/>
    <x v="0"/>
    <x v="0"/>
  </r>
  <r>
    <s v="Call_7839"/>
    <x v="2"/>
    <n v="123"/>
    <x v="0"/>
    <n v="44"/>
    <n v="4.5999999999999996"/>
    <x v="163"/>
    <n v="2023"/>
    <n v="2"/>
    <n v="6"/>
    <x v="5"/>
    <x v="6"/>
    <x v="0"/>
    <x v="1"/>
    <x v="0"/>
  </r>
  <r>
    <s v="Call_7840"/>
    <x v="9"/>
    <n v="100"/>
    <x v="3"/>
    <n v="69"/>
    <n v="3"/>
    <x v="163"/>
    <n v="2023"/>
    <n v="2"/>
    <n v="6"/>
    <x v="5"/>
    <x v="6"/>
    <x v="0"/>
    <x v="0"/>
    <x v="1"/>
  </r>
  <r>
    <s v="Call_7841"/>
    <x v="7"/>
    <n v="35"/>
    <x v="2"/>
    <n v="86"/>
    <n v="4.5999999999999996"/>
    <x v="164"/>
    <n v="2023"/>
    <n v="2"/>
    <n v="6"/>
    <x v="5"/>
    <x v="0"/>
    <x v="0"/>
    <x v="2"/>
    <x v="0"/>
  </r>
  <r>
    <s v="Call_7842"/>
    <x v="5"/>
    <n v="123"/>
    <x v="4"/>
    <n v="68"/>
    <n v="4.5"/>
    <x v="164"/>
    <n v="2023"/>
    <n v="2"/>
    <n v="6"/>
    <x v="5"/>
    <x v="0"/>
    <x v="0"/>
    <x v="1"/>
    <x v="2"/>
  </r>
  <r>
    <s v="Call_7843"/>
    <x v="8"/>
    <n v="133"/>
    <x v="2"/>
    <n v="21"/>
    <n v="3.7"/>
    <x v="165"/>
    <n v="2023"/>
    <n v="2"/>
    <n v="6"/>
    <x v="5"/>
    <x v="1"/>
    <x v="0"/>
    <x v="1"/>
    <x v="2"/>
  </r>
  <r>
    <s v="Call_7844"/>
    <x v="2"/>
    <n v="126"/>
    <x v="1"/>
    <n v="190"/>
    <n v="2.4"/>
    <x v="165"/>
    <n v="2023"/>
    <n v="2"/>
    <n v="6"/>
    <x v="5"/>
    <x v="1"/>
    <x v="0"/>
    <x v="1"/>
    <x v="3"/>
  </r>
  <r>
    <s v="Call_7845"/>
    <x v="5"/>
    <n v="39"/>
    <x v="0"/>
    <n v="176"/>
    <n v="4.3"/>
    <x v="165"/>
    <n v="2023"/>
    <n v="2"/>
    <n v="6"/>
    <x v="5"/>
    <x v="1"/>
    <x v="0"/>
    <x v="2"/>
    <x v="2"/>
  </r>
  <r>
    <s v="Call_7846"/>
    <x v="11"/>
    <n v="31"/>
    <x v="4"/>
    <n v="172"/>
    <n v="3.9"/>
    <x v="165"/>
    <n v="2023"/>
    <n v="2"/>
    <n v="6"/>
    <x v="5"/>
    <x v="1"/>
    <x v="0"/>
    <x v="2"/>
    <x v="2"/>
  </r>
  <r>
    <s v="Call_7847"/>
    <x v="4"/>
    <n v="25"/>
    <x v="2"/>
    <n v="84"/>
    <n v="4.5"/>
    <x v="165"/>
    <n v="2023"/>
    <n v="2"/>
    <n v="6"/>
    <x v="5"/>
    <x v="1"/>
    <x v="0"/>
    <x v="3"/>
    <x v="2"/>
  </r>
  <r>
    <s v="Call_7848"/>
    <x v="1"/>
    <n v="132"/>
    <x v="3"/>
    <n v="42"/>
    <n v="5"/>
    <x v="166"/>
    <n v="2023"/>
    <n v="2"/>
    <n v="6"/>
    <x v="5"/>
    <x v="2"/>
    <x v="0"/>
    <x v="1"/>
    <x v="0"/>
  </r>
  <r>
    <s v="Call_7849"/>
    <x v="7"/>
    <n v="63"/>
    <x v="1"/>
    <n v="70"/>
    <n v="1.6"/>
    <x v="166"/>
    <n v="2023"/>
    <n v="2"/>
    <n v="6"/>
    <x v="5"/>
    <x v="2"/>
    <x v="0"/>
    <x v="0"/>
    <x v="3"/>
  </r>
  <r>
    <s v="Call_7850"/>
    <x v="9"/>
    <n v="135"/>
    <x v="3"/>
    <n v="60"/>
    <n v="4.3"/>
    <x v="166"/>
    <n v="2023"/>
    <n v="2"/>
    <n v="6"/>
    <x v="5"/>
    <x v="2"/>
    <x v="0"/>
    <x v="1"/>
    <x v="2"/>
  </r>
  <r>
    <s v="Call_7851"/>
    <x v="6"/>
    <n v="101"/>
    <x v="1"/>
    <n v="84"/>
    <n v="3.5"/>
    <x v="166"/>
    <n v="2023"/>
    <n v="2"/>
    <n v="6"/>
    <x v="5"/>
    <x v="2"/>
    <x v="0"/>
    <x v="0"/>
    <x v="2"/>
  </r>
  <r>
    <s v="Call_7852"/>
    <x v="8"/>
    <n v="80"/>
    <x v="0"/>
    <n v="68"/>
    <n v="3.1"/>
    <x v="167"/>
    <n v="2023"/>
    <n v="2"/>
    <n v="6"/>
    <x v="5"/>
    <x v="3"/>
    <x v="0"/>
    <x v="0"/>
    <x v="1"/>
  </r>
  <r>
    <s v="Call_7853"/>
    <x v="13"/>
    <n v="28"/>
    <x v="0"/>
    <n v="44"/>
    <n v="2.9"/>
    <x v="167"/>
    <n v="2023"/>
    <n v="2"/>
    <n v="6"/>
    <x v="5"/>
    <x v="3"/>
    <x v="0"/>
    <x v="3"/>
    <x v="1"/>
  </r>
  <r>
    <s v="Call_7854"/>
    <x v="6"/>
    <n v="102"/>
    <x v="3"/>
    <n v="99"/>
    <n v="3.2"/>
    <x v="168"/>
    <n v="2023"/>
    <n v="2"/>
    <n v="6"/>
    <x v="5"/>
    <x v="4"/>
    <x v="0"/>
    <x v="0"/>
    <x v="1"/>
  </r>
  <r>
    <s v="Call_7855"/>
    <x v="7"/>
    <n v="60"/>
    <x v="3"/>
    <n v="66"/>
    <n v="3.2"/>
    <x v="169"/>
    <n v="2023"/>
    <n v="2"/>
    <n v="6"/>
    <x v="5"/>
    <x v="5"/>
    <x v="0"/>
    <x v="2"/>
    <x v="1"/>
  </r>
  <r>
    <s v="Call_7856"/>
    <x v="3"/>
    <n v="103"/>
    <x v="3"/>
    <n v="102"/>
    <n v="4.5"/>
    <x v="169"/>
    <n v="2023"/>
    <n v="2"/>
    <n v="6"/>
    <x v="5"/>
    <x v="5"/>
    <x v="0"/>
    <x v="0"/>
    <x v="2"/>
  </r>
  <r>
    <s v="Call_7857"/>
    <x v="8"/>
    <n v="90"/>
    <x v="0"/>
    <n v="129"/>
    <n v="3.9"/>
    <x v="170"/>
    <n v="2023"/>
    <n v="3"/>
    <n v="7"/>
    <x v="6"/>
    <x v="6"/>
    <x v="1"/>
    <x v="0"/>
    <x v="2"/>
  </r>
  <r>
    <s v="Call_7858"/>
    <x v="12"/>
    <n v="88"/>
    <x v="3"/>
    <n v="80"/>
    <n v="4.2"/>
    <x v="170"/>
    <n v="2023"/>
    <n v="3"/>
    <n v="7"/>
    <x v="6"/>
    <x v="6"/>
    <x v="1"/>
    <x v="0"/>
    <x v="2"/>
  </r>
  <r>
    <s v="Call_7859"/>
    <x v="3"/>
    <n v="37"/>
    <x v="3"/>
    <n v="54"/>
    <n v="1.8"/>
    <x v="170"/>
    <n v="2023"/>
    <n v="3"/>
    <n v="7"/>
    <x v="6"/>
    <x v="6"/>
    <x v="1"/>
    <x v="2"/>
    <x v="3"/>
  </r>
  <r>
    <s v="Call_7860"/>
    <x v="13"/>
    <n v="142"/>
    <x v="0"/>
    <n v="116"/>
    <n v="4.2"/>
    <x v="170"/>
    <n v="2023"/>
    <n v="3"/>
    <n v="7"/>
    <x v="6"/>
    <x v="6"/>
    <x v="1"/>
    <x v="1"/>
    <x v="2"/>
  </r>
  <r>
    <s v="Call_7861"/>
    <x v="13"/>
    <n v="153"/>
    <x v="2"/>
    <n v="102"/>
    <n v="3.1"/>
    <x v="170"/>
    <n v="2023"/>
    <n v="3"/>
    <n v="7"/>
    <x v="6"/>
    <x v="6"/>
    <x v="1"/>
    <x v="1"/>
    <x v="1"/>
  </r>
  <r>
    <s v="Call_7862"/>
    <x v="10"/>
    <n v="128"/>
    <x v="1"/>
    <n v="140"/>
    <n v="4.3"/>
    <x v="170"/>
    <n v="2023"/>
    <n v="3"/>
    <n v="7"/>
    <x v="6"/>
    <x v="6"/>
    <x v="1"/>
    <x v="1"/>
    <x v="2"/>
  </r>
  <r>
    <s v="Call_7863"/>
    <x v="7"/>
    <n v="110"/>
    <x v="1"/>
    <n v="104"/>
    <n v="4.4000000000000004"/>
    <x v="171"/>
    <n v="2023"/>
    <n v="3"/>
    <n v="7"/>
    <x v="6"/>
    <x v="0"/>
    <x v="1"/>
    <x v="0"/>
    <x v="2"/>
  </r>
  <r>
    <s v="Call_7864"/>
    <x v="10"/>
    <n v="139"/>
    <x v="3"/>
    <n v="81"/>
    <n v="4.4000000000000004"/>
    <x v="171"/>
    <n v="2023"/>
    <n v="3"/>
    <n v="7"/>
    <x v="6"/>
    <x v="0"/>
    <x v="1"/>
    <x v="1"/>
    <x v="2"/>
  </r>
  <r>
    <s v="Call_7865"/>
    <x v="6"/>
    <n v="109"/>
    <x v="4"/>
    <n v="140"/>
    <n v="2.4"/>
    <x v="172"/>
    <n v="2023"/>
    <n v="3"/>
    <n v="7"/>
    <x v="6"/>
    <x v="2"/>
    <x v="1"/>
    <x v="0"/>
    <x v="3"/>
  </r>
  <r>
    <s v="Call_7866"/>
    <x v="1"/>
    <n v="57"/>
    <x v="0"/>
    <n v="120"/>
    <n v="3.5"/>
    <x v="173"/>
    <n v="2023"/>
    <n v="3"/>
    <n v="7"/>
    <x v="6"/>
    <x v="3"/>
    <x v="1"/>
    <x v="2"/>
    <x v="2"/>
  </r>
  <r>
    <s v="Call_7867"/>
    <x v="6"/>
    <n v="68"/>
    <x v="3"/>
    <n v="41"/>
    <n v="3.1"/>
    <x v="173"/>
    <n v="2023"/>
    <n v="3"/>
    <n v="7"/>
    <x v="6"/>
    <x v="3"/>
    <x v="1"/>
    <x v="0"/>
    <x v="1"/>
  </r>
  <r>
    <s v="Call_7868"/>
    <x v="4"/>
    <n v="128"/>
    <x v="3"/>
    <n v="116"/>
    <n v="2.2999999999999998"/>
    <x v="173"/>
    <n v="2023"/>
    <n v="3"/>
    <n v="7"/>
    <x v="6"/>
    <x v="3"/>
    <x v="1"/>
    <x v="1"/>
    <x v="3"/>
  </r>
  <r>
    <s v="Call_7869"/>
    <x v="0"/>
    <n v="102"/>
    <x v="0"/>
    <n v="70"/>
    <n v="2.8"/>
    <x v="174"/>
    <n v="2023"/>
    <n v="3"/>
    <n v="7"/>
    <x v="6"/>
    <x v="4"/>
    <x v="1"/>
    <x v="0"/>
    <x v="1"/>
  </r>
  <r>
    <s v="Call_7870"/>
    <x v="10"/>
    <n v="52"/>
    <x v="2"/>
    <n v="42"/>
    <n v="4.5"/>
    <x v="174"/>
    <n v="2023"/>
    <n v="3"/>
    <n v="7"/>
    <x v="6"/>
    <x v="4"/>
    <x v="1"/>
    <x v="2"/>
    <x v="2"/>
  </r>
  <r>
    <s v="Call_7871"/>
    <x v="4"/>
    <n v="55"/>
    <x v="1"/>
    <n v="112"/>
    <n v="4.5"/>
    <x v="175"/>
    <n v="2023"/>
    <n v="3"/>
    <n v="7"/>
    <x v="6"/>
    <x v="5"/>
    <x v="1"/>
    <x v="2"/>
    <x v="2"/>
  </r>
  <r>
    <s v="Call_7872"/>
    <x v="3"/>
    <n v="107"/>
    <x v="3"/>
    <n v="20"/>
    <n v="4.5"/>
    <x v="175"/>
    <n v="2023"/>
    <n v="3"/>
    <n v="7"/>
    <x v="6"/>
    <x v="5"/>
    <x v="1"/>
    <x v="0"/>
    <x v="2"/>
  </r>
  <r>
    <s v="Call_7873"/>
    <x v="8"/>
    <n v="88"/>
    <x v="2"/>
    <n v="110"/>
    <n v="4.8"/>
    <x v="176"/>
    <n v="2023"/>
    <n v="3"/>
    <n v="7"/>
    <x v="6"/>
    <x v="6"/>
    <x v="1"/>
    <x v="0"/>
    <x v="0"/>
  </r>
  <r>
    <s v="Call_7874"/>
    <x v="5"/>
    <n v="49"/>
    <x v="2"/>
    <n v="39"/>
    <n v="4.5999999999999996"/>
    <x v="176"/>
    <n v="2023"/>
    <n v="3"/>
    <n v="7"/>
    <x v="6"/>
    <x v="6"/>
    <x v="1"/>
    <x v="2"/>
    <x v="0"/>
  </r>
  <r>
    <s v="Call_7875"/>
    <x v="8"/>
    <n v="72"/>
    <x v="0"/>
    <n v="76"/>
    <n v="4.5"/>
    <x v="176"/>
    <n v="2023"/>
    <n v="3"/>
    <n v="7"/>
    <x v="6"/>
    <x v="6"/>
    <x v="1"/>
    <x v="0"/>
    <x v="2"/>
  </r>
  <r>
    <s v="Call_7876"/>
    <x v="1"/>
    <n v="50"/>
    <x v="0"/>
    <n v="40"/>
    <n v="5"/>
    <x v="176"/>
    <n v="2023"/>
    <n v="3"/>
    <n v="7"/>
    <x v="6"/>
    <x v="6"/>
    <x v="1"/>
    <x v="2"/>
    <x v="0"/>
  </r>
  <r>
    <s v="Call_7877"/>
    <x v="8"/>
    <n v="52"/>
    <x v="3"/>
    <n v="42"/>
    <n v="4.8"/>
    <x v="176"/>
    <n v="2023"/>
    <n v="3"/>
    <n v="7"/>
    <x v="6"/>
    <x v="6"/>
    <x v="1"/>
    <x v="2"/>
    <x v="0"/>
  </r>
  <r>
    <s v="Call_7878"/>
    <x v="2"/>
    <n v="85"/>
    <x v="4"/>
    <n v="215"/>
    <n v="3.5"/>
    <x v="177"/>
    <n v="2023"/>
    <n v="3"/>
    <n v="7"/>
    <x v="6"/>
    <x v="0"/>
    <x v="1"/>
    <x v="0"/>
    <x v="2"/>
  </r>
  <r>
    <s v="Call_7879"/>
    <x v="9"/>
    <n v="98"/>
    <x v="4"/>
    <n v="130"/>
    <n v="3.4"/>
    <x v="178"/>
    <n v="2023"/>
    <n v="3"/>
    <n v="7"/>
    <x v="6"/>
    <x v="1"/>
    <x v="1"/>
    <x v="0"/>
    <x v="1"/>
  </r>
  <r>
    <s v="Call_7880"/>
    <x v="11"/>
    <n v="52"/>
    <x v="4"/>
    <n v="190"/>
    <n v="3.3"/>
    <x v="178"/>
    <n v="2023"/>
    <n v="3"/>
    <n v="7"/>
    <x v="6"/>
    <x v="1"/>
    <x v="1"/>
    <x v="2"/>
    <x v="1"/>
  </r>
  <r>
    <s v="Call_7881"/>
    <x v="4"/>
    <n v="154"/>
    <x v="2"/>
    <n v="164"/>
    <n v="4.9000000000000004"/>
    <x v="178"/>
    <n v="2023"/>
    <n v="3"/>
    <n v="7"/>
    <x v="6"/>
    <x v="1"/>
    <x v="1"/>
    <x v="1"/>
    <x v="0"/>
  </r>
  <r>
    <s v="Call_7882"/>
    <x v="14"/>
    <n v="131"/>
    <x v="1"/>
    <n v="76"/>
    <n v="4.5"/>
    <x v="179"/>
    <n v="2023"/>
    <n v="3"/>
    <n v="7"/>
    <x v="6"/>
    <x v="2"/>
    <x v="1"/>
    <x v="1"/>
    <x v="2"/>
  </r>
  <r>
    <s v="Call_7883"/>
    <x v="2"/>
    <n v="73"/>
    <x v="1"/>
    <n v="87"/>
    <n v="4.8"/>
    <x v="180"/>
    <n v="2023"/>
    <n v="3"/>
    <n v="7"/>
    <x v="6"/>
    <x v="3"/>
    <x v="1"/>
    <x v="0"/>
    <x v="0"/>
  </r>
  <r>
    <s v="Call_7884"/>
    <x v="7"/>
    <n v="45"/>
    <x v="4"/>
    <n v="84"/>
    <n v="4.8"/>
    <x v="180"/>
    <n v="2023"/>
    <n v="3"/>
    <n v="7"/>
    <x v="6"/>
    <x v="3"/>
    <x v="1"/>
    <x v="2"/>
    <x v="0"/>
  </r>
  <r>
    <s v="Call_7885"/>
    <x v="10"/>
    <n v="114"/>
    <x v="3"/>
    <n v="114"/>
    <n v="3.9"/>
    <x v="180"/>
    <n v="2023"/>
    <n v="3"/>
    <n v="7"/>
    <x v="6"/>
    <x v="3"/>
    <x v="1"/>
    <x v="0"/>
    <x v="2"/>
  </r>
  <r>
    <s v="Call_7886"/>
    <x v="9"/>
    <n v="69"/>
    <x v="1"/>
    <n v="56"/>
    <n v="3.9"/>
    <x v="181"/>
    <n v="2023"/>
    <n v="3"/>
    <n v="7"/>
    <x v="6"/>
    <x v="4"/>
    <x v="1"/>
    <x v="0"/>
    <x v="2"/>
  </r>
  <r>
    <s v="Call_7887"/>
    <x v="14"/>
    <n v="33"/>
    <x v="2"/>
    <n v="27"/>
    <n v="3.7"/>
    <x v="181"/>
    <n v="2023"/>
    <n v="3"/>
    <n v="7"/>
    <x v="6"/>
    <x v="4"/>
    <x v="1"/>
    <x v="2"/>
    <x v="2"/>
  </r>
  <r>
    <s v="Call_7888"/>
    <x v="1"/>
    <n v="31"/>
    <x v="0"/>
    <n v="84"/>
    <n v="4.8"/>
    <x v="182"/>
    <n v="2023"/>
    <n v="3"/>
    <n v="7"/>
    <x v="6"/>
    <x v="5"/>
    <x v="1"/>
    <x v="2"/>
    <x v="0"/>
  </r>
  <r>
    <s v="Call_7889"/>
    <x v="7"/>
    <n v="168"/>
    <x v="2"/>
    <n v="72"/>
    <n v="3.5"/>
    <x v="182"/>
    <n v="2023"/>
    <n v="3"/>
    <n v="7"/>
    <x v="6"/>
    <x v="5"/>
    <x v="1"/>
    <x v="1"/>
    <x v="2"/>
  </r>
  <r>
    <s v="Call_7890"/>
    <x v="2"/>
    <n v="111"/>
    <x v="3"/>
    <n v="126"/>
    <n v="4.2"/>
    <x v="183"/>
    <n v="2023"/>
    <n v="3"/>
    <n v="7"/>
    <x v="6"/>
    <x v="6"/>
    <x v="1"/>
    <x v="0"/>
    <x v="2"/>
  </r>
  <r>
    <s v="Call_7891"/>
    <x v="1"/>
    <n v="80"/>
    <x v="2"/>
    <n v="88"/>
    <n v="4.9000000000000004"/>
    <x v="184"/>
    <n v="2023"/>
    <n v="3"/>
    <n v="7"/>
    <x v="6"/>
    <x v="0"/>
    <x v="1"/>
    <x v="0"/>
    <x v="0"/>
  </r>
  <r>
    <s v="Call_7892"/>
    <x v="0"/>
    <n v="37"/>
    <x v="2"/>
    <n v="124"/>
    <n v="4.5999999999999996"/>
    <x v="184"/>
    <n v="2023"/>
    <n v="3"/>
    <n v="7"/>
    <x v="6"/>
    <x v="0"/>
    <x v="1"/>
    <x v="2"/>
    <x v="0"/>
  </r>
  <r>
    <s v="Call_7893"/>
    <x v="13"/>
    <n v="137"/>
    <x v="2"/>
    <n v="84"/>
    <n v="2.6"/>
    <x v="185"/>
    <n v="2023"/>
    <n v="3"/>
    <n v="7"/>
    <x v="6"/>
    <x v="1"/>
    <x v="1"/>
    <x v="1"/>
    <x v="1"/>
  </r>
  <r>
    <s v="Call_7894"/>
    <x v="9"/>
    <n v="123"/>
    <x v="3"/>
    <n v="80"/>
    <n v="2.7"/>
    <x v="185"/>
    <n v="2023"/>
    <n v="3"/>
    <n v="7"/>
    <x v="6"/>
    <x v="1"/>
    <x v="1"/>
    <x v="1"/>
    <x v="1"/>
  </r>
  <r>
    <s v="Call_7895"/>
    <x v="12"/>
    <n v="105"/>
    <x v="3"/>
    <n v="176"/>
    <n v="4.7"/>
    <x v="186"/>
    <n v="2023"/>
    <n v="3"/>
    <n v="7"/>
    <x v="6"/>
    <x v="2"/>
    <x v="1"/>
    <x v="0"/>
    <x v="0"/>
  </r>
  <r>
    <s v="Call_7896"/>
    <x v="0"/>
    <n v="76"/>
    <x v="4"/>
    <n v="84"/>
    <n v="3.9"/>
    <x v="187"/>
    <n v="2023"/>
    <n v="3"/>
    <n v="7"/>
    <x v="6"/>
    <x v="3"/>
    <x v="1"/>
    <x v="0"/>
    <x v="2"/>
  </r>
  <r>
    <s v="Call_7897"/>
    <x v="1"/>
    <n v="144"/>
    <x v="4"/>
    <n v="164"/>
    <n v="2.8"/>
    <x v="187"/>
    <n v="2023"/>
    <n v="3"/>
    <n v="7"/>
    <x v="6"/>
    <x v="3"/>
    <x v="1"/>
    <x v="1"/>
    <x v="1"/>
  </r>
  <r>
    <s v="Call_7898"/>
    <x v="14"/>
    <n v="109"/>
    <x v="0"/>
    <n v="132"/>
    <n v="3.1"/>
    <x v="187"/>
    <n v="2023"/>
    <n v="3"/>
    <n v="7"/>
    <x v="6"/>
    <x v="3"/>
    <x v="1"/>
    <x v="0"/>
    <x v="1"/>
  </r>
  <r>
    <s v="Call_7899"/>
    <x v="9"/>
    <n v="172"/>
    <x v="2"/>
    <n v="27"/>
    <n v="4.2"/>
    <x v="188"/>
    <n v="2023"/>
    <n v="3"/>
    <n v="7"/>
    <x v="6"/>
    <x v="4"/>
    <x v="1"/>
    <x v="1"/>
    <x v="2"/>
  </r>
  <r>
    <s v="Call_7900"/>
    <x v="1"/>
    <n v="56"/>
    <x v="3"/>
    <n v="27"/>
    <n v="4.3"/>
    <x v="188"/>
    <n v="2023"/>
    <n v="3"/>
    <n v="7"/>
    <x v="6"/>
    <x v="4"/>
    <x v="1"/>
    <x v="2"/>
    <x v="2"/>
  </r>
  <r>
    <s v="Call_7901"/>
    <x v="1"/>
    <n v="121"/>
    <x v="1"/>
    <n v="20"/>
    <n v="2.7"/>
    <x v="188"/>
    <n v="2023"/>
    <n v="3"/>
    <n v="7"/>
    <x v="6"/>
    <x v="4"/>
    <x v="1"/>
    <x v="1"/>
    <x v="1"/>
  </r>
  <r>
    <s v="Call_7902"/>
    <x v="9"/>
    <n v="41"/>
    <x v="3"/>
    <n v="112"/>
    <n v="2.2999999999999998"/>
    <x v="189"/>
    <n v="2023"/>
    <n v="3"/>
    <n v="7"/>
    <x v="6"/>
    <x v="5"/>
    <x v="1"/>
    <x v="2"/>
    <x v="3"/>
  </r>
  <r>
    <s v="Call_7903"/>
    <x v="3"/>
    <n v="60"/>
    <x v="2"/>
    <n v="60"/>
    <n v="2.2999999999999998"/>
    <x v="189"/>
    <n v="2023"/>
    <n v="3"/>
    <n v="7"/>
    <x v="6"/>
    <x v="5"/>
    <x v="1"/>
    <x v="2"/>
    <x v="3"/>
  </r>
  <r>
    <s v="Call_7904"/>
    <x v="3"/>
    <n v="144"/>
    <x v="2"/>
    <n v="102"/>
    <n v="2.9"/>
    <x v="190"/>
    <n v="2023"/>
    <n v="3"/>
    <n v="7"/>
    <x v="6"/>
    <x v="6"/>
    <x v="1"/>
    <x v="1"/>
    <x v="1"/>
  </r>
  <r>
    <s v="Call_7905"/>
    <x v="4"/>
    <n v="67"/>
    <x v="2"/>
    <n v="38"/>
    <n v="4.2"/>
    <x v="190"/>
    <n v="2023"/>
    <n v="3"/>
    <n v="7"/>
    <x v="6"/>
    <x v="6"/>
    <x v="1"/>
    <x v="0"/>
    <x v="2"/>
  </r>
  <r>
    <s v="Call_7906"/>
    <x v="9"/>
    <n v="162"/>
    <x v="0"/>
    <n v="82"/>
    <n v="4.5999999999999996"/>
    <x v="190"/>
    <n v="2023"/>
    <n v="3"/>
    <n v="7"/>
    <x v="6"/>
    <x v="6"/>
    <x v="1"/>
    <x v="1"/>
    <x v="0"/>
  </r>
  <r>
    <s v="Call_7907"/>
    <x v="3"/>
    <n v="87"/>
    <x v="1"/>
    <n v="125"/>
    <n v="4.5"/>
    <x v="191"/>
    <n v="2023"/>
    <n v="3"/>
    <n v="7"/>
    <x v="6"/>
    <x v="2"/>
    <x v="1"/>
    <x v="0"/>
    <x v="2"/>
  </r>
  <r>
    <s v="Call_7908"/>
    <x v="11"/>
    <n v="10"/>
    <x v="4"/>
    <n v="72"/>
    <n v="3.7"/>
    <x v="192"/>
    <n v="2023"/>
    <n v="3"/>
    <n v="7"/>
    <x v="6"/>
    <x v="3"/>
    <x v="1"/>
    <x v="4"/>
    <x v="2"/>
  </r>
  <r>
    <s v="Call_7909"/>
    <x v="1"/>
    <n v="138"/>
    <x v="4"/>
    <n v="195"/>
    <n v="4.0999999999999996"/>
    <x v="192"/>
    <n v="2023"/>
    <n v="3"/>
    <n v="7"/>
    <x v="6"/>
    <x v="3"/>
    <x v="1"/>
    <x v="1"/>
    <x v="2"/>
  </r>
  <r>
    <s v="Call_7910"/>
    <x v="9"/>
    <n v="31"/>
    <x v="4"/>
    <n v="160"/>
    <n v="3.4"/>
    <x v="193"/>
    <n v="2023"/>
    <n v="3"/>
    <n v="7"/>
    <x v="6"/>
    <x v="4"/>
    <x v="1"/>
    <x v="2"/>
    <x v="1"/>
  </r>
  <r>
    <s v="Call_7911"/>
    <x v="12"/>
    <n v="75"/>
    <x v="0"/>
    <n v="78"/>
    <n v="3.3"/>
    <x v="193"/>
    <n v="2023"/>
    <n v="3"/>
    <n v="7"/>
    <x v="6"/>
    <x v="4"/>
    <x v="1"/>
    <x v="0"/>
    <x v="1"/>
  </r>
  <r>
    <s v="Call_7912"/>
    <x v="0"/>
    <n v="65"/>
    <x v="0"/>
    <n v="70"/>
    <n v="4.4000000000000004"/>
    <x v="194"/>
    <n v="2023"/>
    <n v="3"/>
    <n v="7"/>
    <x v="6"/>
    <x v="5"/>
    <x v="1"/>
    <x v="0"/>
    <x v="2"/>
  </r>
  <r>
    <s v="Call_7913"/>
    <x v="2"/>
    <n v="106"/>
    <x v="3"/>
    <n v="105"/>
    <n v="4.2"/>
    <x v="194"/>
    <n v="2023"/>
    <n v="3"/>
    <n v="7"/>
    <x v="6"/>
    <x v="5"/>
    <x v="1"/>
    <x v="0"/>
    <x v="2"/>
  </r>
  <r>
    <s v="Call_7914"/>
    <x v="0"/>
    <n v="107"/>
    <x v="3"/>
    <n v="78"/>
    <n v="3.4"/>
    <x v="195"/>
    <n v="2023"/>
    <n v="3"/>
    <n v="7"/>
    <x v="6"/>
    <x v="6"/>
    <x v="1"/>
    <x v="0"/>
    <x v="1"/>
  </r>
  <r>
    <s v="Call_7915"/>
    <x v="13"/>
    <n v="78"/>
    <x v="3"/>
    <n v="205"/>
    <n v="4.4000000000000004"/>
    <x v="196"/>
    <n v="2023"/>
    <n v="3"/>
    <n v="7"/>
    <x v="6"/>
    <x v="1"/>
    <x v="1"/>
    <x v="0"/>
    <x v="2"/>
  </r>
  <r>
    <s v="Call_7916"/>
    <x v="8"/>
    <n v="122"/>
    <x v="3"/>
    <n v="78"/>
    <n v="2.7"/>
    <x v="196"/>
    <n v="2023"/>
    <n v="3"/>
    <n v="7"/>
    <x v="6"/>
    <x v="1"/>
    <x v="1"/>
    <x v="1"/>
    <x v="1"/>
  </r>
  <r>
    <s v="Call_7917"/>
    <x v="1"/>
    <n v="58"/>
    <x v="4"/>
    <n v="38"/>
    <n v="4.5"/>
    <x v="196"/>
    <n v="2023"/>
    <n v="3"/>
    <n v="7"/>
    <x v="6"/>
    <x v="1"/>
    <x v="1"/>
    <x v="2"/>
    <x v="2"/>
  </r>
  <r>
    <s v="Call_7918"/>
    <x v="13"/>
    <n v="33"/>
    <x v="2"/>
    <n v="92"/>
    <n v="1.7"/>
    <x v="196"/>
    <n v="2023"/>
    <n v="3"/>
    <n v="7"/>
    <x v="6"/>
    <x v="1"/>
    <x v="1"/>
    <x v="2"/>
    <x v="3"/>
  </r>
  <r>
    <s v="Call_7919"/>
    <x v="14"/>
    <n v="164"/>
    <x v="0"/>
    <n v="36"/>
    <n v="4.7"/>
    <x v="196"/>
    <n v="2023"/>
    <n v="3"/>
    <n v="7"/>
    <x v="6"/>
    <x v="1"/>
    <x v="1"/>
    <x v="1"/>
    <x v="0"/>
  </r>
  <r>
    <s v="Call_7920"/>
    <x v="12"/>
    <n v="163"/>
    <x v="1"/>
    <n v="76"/>
    <n v="4.4000000000000004"/>
    <x v="196"/>
    <n v="2023"/>
    <n v="3"/>
    <n v="7"/>
    <x v="6"/>
    <x v="1"/>
    <x v="1"/>
    <x v="1"/>
    <x v="2"/>
  </r>
  <r>
    <s v="Call_7921"/>
    <x v="5"/>
    <n v="71"/>
    <x v="0"/>
    <n v="170"/>
    <n v="3.5"/>
    <x v="197"/>
    <n v="2023"/>
    <n v="3"/>
    <n v="8"/>
    <x v="7"/>
    <x v="3"/>
    <x v="1"/>
    <x v="0"/>
    <x v="2"/>
  </r>
  <r>
    <s v="Call_7922"/>
    <x v="13"/>
    <n v="103"/>
    <x v="4"/>
    <n v="117"/>
    <n v="4.7"/>
    <x v="198"/>
    <n v="2023"/>
    <n v="3"/>
    <n v="8"/>
    <x v="7"/>
    <x v="4"/>
    <x v="1"/>
    <x v="0"/>
    <x v="0"/>
  </r>
  <r>
    <s v="Call_7923"/>
    <x v="10"/>
    <n v="69"/>
    <x v="1"/>
    <n v="20"/>
    <n v="4.3"/>
    <x v="198"/>
    <n v="2023"/>
    <n v="3"/>
    <n v="8"/>
    <x v="7"/>
    <x v="4"/>
    <x v="1"/>
    <x v="0"/>
    <x v="2"/>
  </r>
  <r>
    <s v="Call_7924"/>
    <x v="12"/>
    <n v="111"/>
    <x v="4"/>
    <n v="99"/>
    <n v="4.0999999999999996"/>
    <x v="198"/>
    <n v="2023"/>
    <n v="3"/>
    <n v="8"/>
    <x v="7"/>
    <x v="4"/>
    <x v="1"/>
    <x v="0"/>
    <x v="2"/>
  </r>
  <r>
    <s v="Call_7925"/>
    <x v="6"/>
    <n v="97"/>
    <x v="1"/>
    <n v="105"/>
    <n v="2.9"/>
    <x v="199"/>
    <n v="2023"/>
    <n v="3"/>
    <n v="8"/>
    <x v="7"/>
    <x v="5"/>
    <x v="1"/>
    <x v="0"/>
    <x v="1"/>
  </r>
  <r>
    <s v="Call_7926"/>
    <x v="7"/>
    <n v="144"/>
    <x v="3"/>
    <n v="195"/>
    <n v="3.4"/>
    <x v="199"/>
    <n v="2023"/>
    <n v="3"/>
    <n v="8"/>
    <x v="7"/>
    <x v="5"/>
    <x v="1"/>
    <x v="1"/>
    <x v="1"/>
  </r>
  <r>
    <s v="Call_7927"/>
    <x v="2"/>
    <n v="56"/>
    <x v="1"/>
    <n v="152"/>
    <n v="4.5999999999999996"/>
    <x v="200"/>
    <n v="2023"/>
    <n v="3"/>
    <n v="8"/>
    <x v="7"/>
    <x v="6"/>
    <x v="1"/>
    <x v="2"/>
    <x v="0"/>
  </r>
  <r>
    <s v="Call_7928"/>
    <x v="7"/>
    <n v="132"/>
    <x v="3"/>
    <n v="195"/>
    <n v="4.9000000000000004"/>
    <x v="201"/>
    <n v="2023"/>
    <n v="3"/>
    <n v="8"/>
    <x v="7"/>
    <x v="0"/>
    <x v="1"/>
    <x v="1"/>
    <x v="0"/>
  </r>
  <r>
    <s v="Call_7929"/>
    <x v="5"/>
    <n v="72"/>
    <x v="2"/>
    <n v="70"/>
    <n v="3.6"/>
    <x v="201"/>
    <n v="2023"/>
    <n v="3"/>
    <n v="8"/>
    <x v="7"/>
    <x v="0"/>
    <x v="1"/>
    <x v="0"/>
    <x v="2"/>
  </r>
  <r>
    <s v="Call_7930"/>
    <x v="12"/>
    <n v="18"/>
    <x v="2"/>
    <n v="22"/>
    <n v="3.5"/>
    <x v="201"/>
    <n v="2023"/>
    <n v="3"/>
    <n v="8"/>
    <x v="7"/>
    <x v="0"/>
    <x v="1"/>
    <x v="3"/>
    <x v="2"/>
  </r>
  <r>
    <s v="Call_7931"/>
    <x v="4"/>
    <n v="115"/>
    <x v="4"/>
    <n v="40"/>
    <n v="3.3"/>
    <x v="202"/>
    <n v="2023"/>
    <n v="3"/>
    <n v="8"/>
    <x v="7"/>
    <x v="1"/>
    <x v="1"/>
    <x v="0"/>
    <x v="1"/>
  </r>
  <r>
    <s v="Call_7932"/>
    <x v="4"/>
    <n v="124"/>
    <x v="1"/>
    <n v="54"/>
    <n v="3.8"/>
    <x v="203"/>
    <n v="2023"/>
    <n v="3"/>
    <n v="8"/>
    <x v="7"/>
    <x v="2"/>
    <x v="1"/>
    <x v="1"/>
    <x v="2"/>
  </r>
  <r>
    <s v="Call_7933"/>
    <x v="1"/>
    <n v="130"/>
    <x v="1"/>
    <n v="60"/>
    <n v="2.5"/>
    <x v="203"/>
    <n v="2023"/>
    <n v="3"/>
    <n v="8"/>
    <x v="7"/>
    <x v="2"/>
    <x v="1"/>
    <x v="1"/>
    <x v="3"/>
  </r>
  <r>
    <s v="Call_7934"/>
    <x v="11"/>
    <n v="120"/>
    <x v="0"/>
    <n v="58"/>
    <n v="4.5999999999999996"/>
    <x v="204"/>
    <n v="2023"/>
    <n v="3"/>
    <n v="8"/>
    <x v="7"/>
    <x v="4"/>
    <x v="1"/>
    <x v="0"/>
    <x v="0"/>
  </r>
  <r>
    <s v="Call_7935"/>
    <x v="6"/>
    <n v="75"/>
    <x v="4"/>
    <n v="220"/>
    <n v="4.7"/>
    <x v="204"/>
    <n v="2023"/>
    <n v="3"/>
    <n v="8"/>
    <x v="7"/>
    <x v="4"/>
    <x v="1"/>
    <x v="0"/>
    <x v="0"/>
  </r>
  <r>
    <s v="Call_7936"/>
    <x v="0"/>
    <n v="63"/>
    <x v="4"/>
    <n v="27"/>
    <n v="3.6"/>
    <x v="204"/>
    <n v="2023"/>
    <n v="3"/>
    <n v="8"/>
    <x v="7"/>
    <x v="4"/>
    <x v="1"/>
    <x v="0"/>
    <x v="2"/>
  </r>
  <r>
    <s v="Call_7937"/>
    <x v="7"/>
    <n v="74"/>
    <x v="4"/>
    <n v="26"/>
    <n v="4.3"/>
    <x v="205"/>
    <n v="2023"/>
    <n v="3"/>
    <n v="8"/>
    <x v="7"/>
    <x v="6"/>
    <x v="1"/>
    <x v="0"/>
    <x v="2"/>
  </r>
  <r>
    <s v="Call_7938"/>
    <x v="10"/>
    <n v="134"/>
    <x v="3"/>
    <n v="160"/>
    <n v="4.7"/>
    <x v="206"/>
    <n v="2023"/>
    <n v="3"/>
    <n v="8"/>
    <x v="7"/>
    <x v="0"/>
    <x v="1"/>
    <x v="1"/>
    <x v="0"/>
  </r>
  <r>
    <s v="Call_7939"/>
    <x v="12"/>
    <n v="103"/>
    <x v="1"/>
    <n v="200"/>
    <n v="4.9000000000000004"/>
    <x v="206"/>
    <n v="2023"/>
    <n v="3"/>
    <n v="8"/>
    <x v="7"/>
    <x v="0"/>
    <x v="1"/>
    <x v="0"/>
    <x v="0"/>
  </r>
  <r>
    <s v="Call_7940"/>
    <x v="12"/>
    <n v="155"/>
    <x v="0"/>
    <n v="135"/>
    <n v="4.9000000000000004"/>
    <x v="207"/>
    <n v="2023"/>
    <n v="3"/>
    <n v="8"/>
    <x v="7"/>
    <x v="3"/>
    <x v="1"/>
    <x v="1"/>
    <x v="0"/>
  </r>
  <r>
    <s v="Call_7941"/>
    <x v="0"/>
    <n v="128"/>
    <x v="1"/>
    <n v="22"/>
    <n v="1.9"/>
    <x v="208"/>
    <n v="2023"/>
    <n v="3"/>
    <n v="8"/>
    <x v="7"/>
    <x v="4"/>
    <x v="1"/>
    <x v="1"/>
    <x v="3"/>
  </r>
  <r>
    <s v="Call_7942"/>
    <x v="6"/>
    <n v="89"/>
    <x v="3"/>
    <n v="164"/>
    <n v="4.5"/>
    <x v="209"/>
    <n v="2023"/>
    <n v="3"/>
    <n v="8"/>
    <x v="7"/>
    <x v="5"/>
    <x v="1"/>
    <x v="0"/>
    <x v="2"/>
  </r>
  <r>
    <s v="Call_7943"/>
    <x v="4"/>
    <n v="81"/>
    <x v="0"/>
    <n v="21"/>
    <n v="4.9000000000000004"/>
    <x v="209"/>
    <n v="2023"/>
    <n v="3"/>
    <n v="8"/>
    <x v="7"/>
    <x v="5"/>
    <x v="1"/>
    <x v="0"/>
    <x v="0"/>
  </r>
  <r>
    <s v="Call_7944"/>
    <x v="6"/>
    <n v="66"/>
    <x v="3"/>
    <n v="120"/>
    <n v="4.5"/>
    <x v="210"/>
    <n v="2023"/>
    <n v="3"/>
    <n v="8"/>
    <x v="7"/>
    <x v="6"/>
    <x v="1"/>
    <x v="0"/>
    <x v="2"/>
  </r>
  <r>
    <s v="Call_7945"/>
    <x v="5"/>
    <n v="61"/>
    <x v="2"/>
    <n v="93"/>
    <n v="2.7"/>
    <x v="210"/>
    <n v="2023"/>
    <n v="3"/>
    <n v="8"/>
    <x v="7"/>
    <x v="6"/>
    <x v="1"/>
    <x v="0"/>
    <x v="1"/>
  </r>
  <r>
    <s v="Call_7946"/>
    <x v="4"/>
    <n v="128"/>
    <x v="2"/>
    <n v="135"/>
    <n v="2.1"/>
    <x v="210"/>
    <n v="2023"/>
    <n v="3"/>
    <n v="8"/>
    <x v="7"/>
    <x v="6"/>
    <x v="1"/>
    <x v="1"/>
    <x v="3"/>
  </r>
  <r>
    <s v="Call_7947"/>
    <x v="12"/>
    <n v="30"/>
    <x v="0"/>
    <n v="210"/>
    <n v="4.2"/>
    <x v="210"/>
    <n v="2023"/>
    <n v="3"/>
    <n v="8"/>
    <x v="7"/>
    <x v="6"/>
    <x v="1"/>
    <x v="3"/>
    <x v="2"/>
  </r>
  <r>
    <s v="Call_7948"/>
    <x v="14"/>
    <n v="63"/>
    <x v="2"/>
    <n v="29"/>
    <n v="4.7"/>
    <x v="211"/>
    <n v="2023"/>
    <n v="3"/>
    <n v="8"/>
    <x v="7"/>
    <x v="0"/>
    <x v="1"/>
    <x v="0"/>
    <x v="0"/>
  </r>
  <r>
    <s v="Call_7949"/>
    <x v="8"/>
    <n v="64"/>
    <x v="4"/>
    <n v="111"/>
    <n v="3.9"/>
    <x v="211"/>
    <n v="2023"/>
    <n v="3"/>
    <n v="8"/>
    <x v="7"/>
    <x v="0"/>
    <x v="1"/>
    <x v="0"/>
    <x v="2"/>
  </r>
  <r>
    <s v="Call_7950"/>
    <x v="3"/>
    <n v="151"/>
    <x v="1"/>
    <n v="63"/>
    <n v="4.0999999999999996"/>
    <x v="212"/>
    <n v="2023"/>
    <n v="3"/>
    <n v="8"/>
    <x v="7"/>
    <x v="1"/>
    <x v="1"/>
    <x v="1"/>
    <x v="2"/>
  </r>
  <r>
    <s v="Call_7951"/>
    <x v="13"/>
    <n v="116"/>
    <x v="3"/>
    <n v="44"/>
    <n v="3.8"/>
    <x v="212"/>
    <n v="2023"/>
    <n v="3"/>
    <n v="8"/>
    <x v="7"/>
    <x v="1"/>
    <x v="1"/>
    <x v="0"/>
    <x v="2"/>
  </r>
  <r>
    <s v="Call_7952"/>
    <x v="3"/>
    <n v="111"/>
    <x v="3"/>
    <n v="120"/>
    <n v="1.8"/>
    <x v="213"/>
    <n v="2023"/>
    <n v="3"/>
    <n v="8"/>
    <x v="7"/>
    <x v="3"/>
    <x v="1"/>
    <x v="0"/>
    <x v="3"/>
  </r>
  <r>
    <s v="Call_7953"/>
    <x v="4"/>
    <n v="15"/>
    <x v="3"/>
    <n v="120"/>
    <n v="4.0999999999999996"/>
    <x v="213"/>
    <n v="2023"/>
    <n v="3"/>
    <n v="8"/>
    <x v="7"/>
    <x v="3"/>
    <x v="1"/>
    <x v="3"/>
    <x v="2"/>
  </r>
  <r>
    <s v="Call_7954"/>
    <x v="8"/>
    <n v="18"/>
    <x v="1"/>
    <n v="40"/>
    <n v="4.4000000000000004"/>
    <x v="214"/>
    <n v="2023"/>
    <n v="3"/>
    <n v="8"/>
    <x v="7"/>
    <x v="4"/>
    <x v="1"/>
    <x v="3"/>
    <x v="2"/>
  </r>
  <r>
    <s v="Call_7955"/>
    <x v="5"/>
    <n v="146"/>
    <x v="2"/>
    <n v="160"/>
    <n v="4.0999999999999996"/>
    <x v="214"/>
    <n v="2023"/>
    <n v="3"/>
    <n v="8"/>
    <x v="7"/>
    <x v="4"/>
    <x v="1"/>
    <x v="1"/>
    <x v="2"/>
  </r>
  <r>
    <s v="Call_7956"/>
    <x v="12"/>
    <n v="73"/>
    <x v="3"/>
    <n v="44"/>
    <n v="3.8"/>
    <x v="215"/>
    <n v="2023"/>
    <n v="3"/>
    <n v="8"/>
    <x v="7"/>
    <x v="5"/>
    <x v="1"/>
    <x v="0"/>
    <x v="2"/>
  </r>
  <r>
    <s v="Call_7957"/>
    <x v="3"/>
    <n v="108"/>
    <x v="1"/>
    <n v="80"/>
    <n v="4.3"/>
    <x v="215"/>
    <n v="2023"/>
    <n v="3"/>
    <n v="8"/>
    <x v="7"/>
    <x v="5"/>
    <x v="1"/>
    <x v="0"/>
    <x v="2"/>
  </r>
  <r>
    <s v="Call_7958"/>
    <x v="10"/>
    <n v="52"/>
    <x v="1"/>
    <n v="66"/>
    <n v="4.5"/>
    <x v="216"/>
    <n v="2023"/>
    <n v="3"/>
    <n v="8"/>
    <x v="7"/>
    <x v="6"/>
    <x v="1"/>
    <x v="2"/>
    <x v="2"/>
  </r>
  <r>
    <s v="Call_7959"/>
    <x v="13"/>
    <n v="165"/>
    <x v="4"/>
    <n v="82"/>
    <n v="3.4"/>
    <x v="216"/>
    <n v="2023"/>
    <n v="3"/>
    <n v="8"/>
    <x v="7"/>
    <x v="6"/>
    <x v="1"/>
    <x v="1"/>
    <x v="1"/>
  </r>
  <r>
    <s v="Call_7960"/>
    <x v="5"/>
    <n v="104"/>
    <x v="3"/>
    <n v="66"/>
    <n v="4.8"/>
    <x v="216"/>
    <n v="2023"/>
    <n v="3"/>
    <n v="8"/>
    <x v="7"/>
    <x v="6"/>
    <x v="1"/>
    <x v="0"/>
    <x v="0"/>
  </r>
  <r>
    <s v="Call_7961"/>
    <x v="12"/>
    <n v="131"/>
    <x v="2"/>
    <n v="92"/>
    <n v="4.9000000000000004"/>
    <x v="216"/>
    <n v="2023"/>
    <n v="3"/>
    <n v="8"/>
    <x v="7"/>
    <x v="6"/>
    <x v="1"/>
    <x v="1"/>
    <x v="0"/>
  </r>
  <r>
    <s v="Call_7962"/>
    <x v="11"/>
    <n v="80"/>
    <x v="4"/>
    <n v="104"/>
    <n v="4.7"/>
    <x v="217"/>
    <n v="2023"/>
    <n v="3"/>
    <n v="8"/>
    <x v="7"/>
    <x v="0"/>
    <x v="1"/>
    <x v="0"/>
    <x v="0"/>
  </r>
  <r>
    <s v="Call_7963"/>
    <x v="4"/>
    <n v="49"/>
    <x v="3"/>
    <n v="105"/>
    <n v="3.3"/>
    <x v="217"/>
    <n v="2023"/>
    <n v="3"/>
    <n v="8"/>
    <x v="7"/>
    <x v="0"/>
    <x v="1"/>
    <x v="2"/>
    <x v="1"/>
  </r>
  <r>
    <s v="Call_7964"/>
    <x v="13"/>
    <n v="73"/>
    <x v="3"/>
    <n v="100"/>
    <n v="2.8"/>
    <x v="217"/>
    <n v="2023"/>
    <n v="3"/>
    <n v="8"/>
    <x v="7"/>
    <x v="0"/>
    <x v="1"/>
    <x v="0"/>
    <x v="1"/>
  </r>
  <r>
    <s v="Call_7965"/>
    <x v="5"/>
    <n v="117"/>
    <x v="4"/>
    <n v="90"/>
    <n v="4.0999999999999996"/>
    <x v="217"/>
    <n v="2023"/>
    <n v="3"/>
    <n v="8"/>
    <x v="7"/>
    <x v="0"/>
    <x v="1"/>
    <x v="0"/>
    <x v="2"/>
  </r>
  <r>
    <s v="Call_7966"/>
    <x v="2"/>
    <n v="38"/>
    <x v="0"/>
    <n v="110"/>
    <n v="3.5"/>
    <x v="217"/>
    <n v="2023"/>
    <n v="3"/>
    <n v="8"/>
    <x v="7"/>
    <x v="0"/>
    <x v="1"/>
    <x v="2"/>
    <x v="2"/>
  </r>
  <r>
    <s v="Call_7967"/>
    <x v="10"/>
    <n v="109"/>
    <x v="4"/>
    <n v="68"/>
    <n v="2.2999999999999998"/>
    <x v="218"/>
    <n v="2023"/>
    <n v="3"/>
    <n v="8"/>
    <x v="7"/>
    <x v="2"/>
    <x v="1"/>
    <x v="0"/>
    <x v="3"/>
  </r>
  <r>
    <s v="Call_7968"/>
    <x v="4"/>
    <n v="70"/>
    <x v="1"/>
    <n v="210"/>
    <n v="4.0999999999999996"/>
    <x v="219"/>
    <n v="2023"/>
    <n v="3"/>
    <n v="8"/>
    <x v="7"/>
    <x v="3"/>
    <x v="1"/>
    <x v="0"/>
    <x v="2"/>
  </r>
  <r>
    <s v="Call_7969"/>
    <x v="1"/>
    <n v="51"/>
    <x v="0"/>
    <n v="111"/>
    <n v="4.3"/>
    <x v="219"/>
    <n v="2023"/>
    <n v="3"/>
    <n v="8"/>
    <x v="7"/>
    <x v="3"/>
    <x v="1"/>
    <x v="2"/>
    <x v="2"/>
  </r>
  <r>
    <s v="Call_7970"/>
    <x v="1"/>
    <n v="100"/>
    <x v="1"/>
    <n v="45"/>
    <n v="4.9000000000000004"/>
    <x v="220"/>
    <n v="2023"/>
    <n v="3"/>
    <n v="8"/>
    <x v="7"/>
    <x v="4"/>
    <x v="1"/>
    <x v="0"/>
    <x v="0"/>
  </r>
  <r>
    <s v="Call_7971"/>
    <x v="7"/>
    <n v="124"/>
    <x v="0"/>
    <n v="132"/>
    <n v="4"/>
    <x v="221"/>
    <n v="2023"/>
    <n v="3"/>
    <n v="9"/>
    <x v="8"/>
    <x v="5"/>
    <x v="1"/>
    <x v="1"/>
    <x v="2"/>
  </r>
  <r>
    <s v="Call_7972"/>
    <x v="0"/>
    <n v="143"/>
    <x v="4"/>
    <n v="20"/>
    <n v="4.7"/>
    <x v="221"/>
    <n v="2023"/>
    <n v="3"/>
    <n v="9"/>
    <x v="8"/>
    <x v="5"/>
    <x v="1"/>
    <x v="1"/>
    <x v="0"/>
  </r>
  <r>
    <s v="Call_7973"/>
    <x v="6"/>
    <n v="96"/>
    <x v="3"/>
    <n v="36"/>
    <n v="3.4"/>
    <x v="221"/>
    <n v="2023"/>
    <n v="3"/>
    <n v="9"/>
    <x v="8"/>
    <x v="5"/>
    <x v="1"/>
    <x v="0"/>
    <x v="1"/>
  </r>
  <r>
    <s v="Call_7974"/>
    <x v="13"/>
    <n v="84"/>
    <x v="1"/>
    <n v="72"/>
    <n v="4"/>
    <x v="222"/>
    <n v="2023"/>
    <n v="3"/>
    <n v="9"/>
    <x v="8"/>
    <x v="0"/>
    <x v="1"/>
    <x v="0"/>
    <x v="2"/>
  </r>
  <r>
    <s v="Call_7975"/>
    <x v="9"/>
    <n v="111"/>
    <x v="1"/>
    <n v="63"/>
    <n v="4.5"/>
    <x v="222"/>
    <n v="2023"/>
    <n v="3"/>
    <n v="9"/>
    <x v="8"/>
    <x v="0"/>
    <x v="1"/>
    <x v="0"/>
    <x v="2"/>
  </r>
  <r>
    <s v="Call_7976"/>
    <x v="9"/>
    <n v="103"/>
    <x v="0"/>
    <n v="44"/>
    <n v="4.5"/>
    <x v="223"/>
    <n v="2023"/>
    <n v="3"/>
    <n v="9"/>
    <x v="8"/>
    <x v="1"/>
    <x v="1"/>
    <x v="0"/>
    <x v="2"/>
  </r>
  <r>
    <s v="Call_7977"/>
    <x v="0"/>
    <n v="61"/>
    <x v="2"/>
    <n v="132"/>
    <n v="4.9000000000000004"/>
    <x v="223"/>
    <n v="2023"/>
    <n v="3"/>
    <n v="9"/>
    <x v="8"/>
    <x v="1"/>
    <x v="1"/>
    <x v="0"/>
    <x v="0"/>
  </r>
  <r>
    <s v="Call_7978"/>
    <x v="12"/>
    <n v="113"/>
    <x v="3"/>
    <n v="46"/>
    <n v="4.4000000000000004"/>
    <x v="223"/>
    <n v="2023"/>
    <n v="3"/>
    <n v="9"/>
    <x v="8"/>
    <x v="1"/>
    <x v="1"/>
    <x v="0"/>
    <x v="2"/>
  </r>
  <r>
    <s v="Call_7979"/>
    <x v="12"/>
    <n v="96"/>
    <x v="3"/>
    <n v="96"/>
    <n v="2.9"/>
    <x v="223"/>
    <n v="2023"/>
    <n v="3"/>
    <n v="9"/>
    <x v="8"/>
    <x v="1"/>
    <x v="1"/>
    <x v="0"/>
    <x v="1"/>
  </r>
  <r>
    <s v="Call_7980"/>
    <x v="8"/>
    <n v="131"/>
    <x v="0"/>
    <n v="75"/>
    <n v="4.4000000000000004"/>
    <x v="224"/>
    <n v="2023"/>
    <n v="3"/>
    <n v="9"/>
    <x v="8"/>
    <x v="2"/>
    <x v="1"/>
    <x v="1"/>
    <x v="2"/>
  </r>
  <r>
    <s v="Call_7981"/>
    <x v="5"/>
    <n v="52"/>
    <x v="3"/>
    <n v="88"/>
    <n v="4.3"/>
    <x v="225"/>
    <n v="2023"/>
    <n v="3"/>
    <n v="9"/>
    <x v="8"/>
    <x v="3"/>
    <x v="1"/>
    <x v="2"/>
    <x v="2"/>
  </r>
  <r>
    <s v="Call_7982"/>
    <x v="1"/>
    <n v="100"/>
    <x v="0"/>
    <n v="24"/>
    <n v="4.7"/>
    <x v="225"/>
    <n v="2023"/>
    <n v="3"/>
    <n v="9"/>
    <x v="8"/>
    <x v="3"/>
    <x v="1"/>
    <x v="0"/>
    <x v="0"/>
  </r>
  <r>
    <s v="Call_7983"/>
    <x v="3"/>
    <n v="58"/>
    <x v="4"/>
    <n v="96"/>
    <n v="3.2"/>
    <x v="225"/>
    <n v="2023"/>
    <n v="3"/>
    <n v="9"/>
    <x v="8"/>
    <x v="3"/>
    <x v="1"/>
    <x v="2"/>
    <x v="1"/>
  </r>
  <r>
    <s v="Call_7984"/>
    <x v="4"/>
    <n v="144"/>
    <x v="4"/>
    <n v="124"/>
    <n v="2.2999999999999998"/>
    <x v="226"/>
    <n v="2023"/>
    <n v="3"/>
    <n v="9"/>
    <x v="8"/>
    <x v="4"/>
    <x v="1"/>
    <x v="1"/>
    <x v="3"/>
  </r>
  <r>
    <s v="Call_7985"/>
    <x v="3"/>
    <n v="53"/>
    <x v="2"/>
    <n v="130"/>
    <n v="3.6"/>
    <x v="227"/>
    <n v="2023"/>
    <n v="3"/>
    <n v="9"/>
    <x v="8"/>
    <x v="5"/>
    <x v="1"/>
    <x v="2"/>
    <x v="2"/>
  </r>
  <r>
    <s v="Call_7986"/>
    <x v="12"/>
    <n v="97"/>
    <x v="1"/>
    <n v="45"/>
    <n v="4.5999999999999996"/>
    <x v="227"/>
    <n v="2023"/>
    <n v="3"/>
    <n v="9"/>
    <x v="8"/>
    <x v="5"/>
    <x v="1"/>
    <x v="0"/>
    <x v="0"/>
  </r>
  <r>
    <s v="Call_7987"/>
    <x v="2"/>
    <n v="64"/>
    <x v="4"/>
    <n v="66"/>
    <n v="4"/>
    <x v="227"/>
    <n v="2023"/>
    <n v="3"/>
    <n v="9"/>
    <x v="8"/>
    <x v="5"/>
    <x v="1"/>
    <x v="0"/>
    <x v="2"/>
  </r>
  <r>
    <s v="Call_7988"/>
    <x v="0"/>
    <n v="106"/>
    <x v="0"/>
    <n v="58"/>
    <n v="4.7"/>
    <x v="227"/>
    <n v="2023"/>
    <n v="3"/>
    <n v="9"/>
    <x v="8"/>
    <x v="5"/>
    <x v="1"/>
    <x v="0"/>
    <x v="0"/>
  </r>
  <r>
    <s v="Call_7989"/>
    <x v="13"/>
    <n v="36"/>
    <x v="4"/>
    <n v="152"/>
    <n v="4.3"/>
    <x v="228"/>
    <n v="2023"/>
    <n v="3"/>
    <n v="9"/>
    <x v="8"/>
    <x v="6"/>
    <x v="1"/>
    <x v="2"/>
    <x v="2"/>
  </r>
  <r>
    <s v="Call_7990"/>
    <x v="4"/>
    <n v="74"/>
    <x v="3"/>
    <n v="75"/>
    <n v="2.8"/>
    <x v="228"/>
    <n v="2023"/>
    <n v="3"/>
    <n v="9"/>
    <x v="8"/>
    <x v="6"/>
    <x v="1"/>
    <x v="0"/>
    <x v="1"/>
  </r>
  <r>
    <s v="Call_7991"/>
    <x v="10"/>
    <n v="143"/>
    <x v="1"/>
    <n v="78"/>
    <n v="4"/>
    <x v="228"/>
    <n v="2023"/>
    <n v="3"/>
    <n v="9"/>
    <x v="8"/>
    <x v="6"/>
    <x v="1"/>
    <x v="1"/>
    <x v="2"/>
  </r>
  <r>
    <s v="Call_7992"/>
    <x v="0"/>
    <n v="94"/>
    <x v="2"/>
    <n v="69"/>
    <n v="3.9"/>
    <x v="228"/>
    <n v="2023"/>
    <n v="3"/>
    <n v="9"/>
    <x v="8"/>
    <x v="6"/>
    <x v="1"/>
    <x v="0"/>
    <x v="2"/>
  </r>
  <r>
    <s v="Call_7993"/>
    <x v="11"/>
    <n v="124"/>
    <x v="0"/>
    <n v="46"/>
    <n v="3.1"/>
    <x v="229"/>
    <n v="2023"/>
    <n v="3"/>
    <n v="9"/>
    <x v="8"/>
    <x v="0"/>
    <x v="1"/>
    <x v="1"/>
    <x v="1"/>
  </r>
  <r>
    <s v="Call_7994"/>
    <x v="13"/>
    <n v="156"/>
    <x v="4"/>
    <n v="64"/>
    <n v="2.7"/>
    <x v="229"/>
    <n v="2023"/>
    <n v="3"/>
    <n v="9"/>
    <x v="8"/>
    <x v="0"/>
    <x v="1"/>
    <x v="1"/>
    <x v="1"/>
  </r>
  <r>
    <s v="Call_7995"/>
    <x v="6"/>
    <n v="107"/>
    <x v="1"/>
    <n v="38"/>
    <n v="4.7"/>
    <x v="229"/>
    <n v="2023"/>
    <n v="3"/>
    <n v="9"/>
    <x v="8"/>
    <x v="0"/>
    <x v="1"/>
    <x v="0"/>
    <x v="0"/>
  </r>
  <r>
    <s v="Call_7996"/>
    <x v="0"/>
    <n v="58"/>
    <x v="1"/>
    <n v="90"/>
    <n v="4.3"/>
    <x v="230"/>
    <n v="2023"/>
    <n v="3"/>
    <n v="9"/>
    <x v="8"/>
    <x v="2"/>
    <x v="1"/>
    <x v="2"/>
    <x v="2"/>
  </r>
  <r>
    <s v="Call_7997"/>
    <x v="7"/>
    <n v="66"/>
    <x v="1"/>
    <n v="32"/>
    <n v="3.8"/>
    <x v="230"/>
    <n v="2023"/>
    <n v="3"/>
    <n v="9"/>
    <x v="8"/>
    <x v="2"/>
    <x v="1"/>
    <x v="0"/>
    <x v="2"/>
  </r>
  <r>
    <s v="Call_7998"/>
    <x v="8"/>
    <n v="75"/>
    <x v="4"/>
    <n v="120"/>
    <n v="4.4000000000000004"/>
    <x v="230"/>
    <n v="2023"/>
    <n v="3"/>
    <n v="9"/>
    <x v="8"/>
    <x v="2"/>
    <x v="1"/>
    <x v="0"/>
    <x v="2"/>
  </r>
  <r>
    <s v="Call_7999"/>
    <x v="6"/>
    <n v="8"/>
    <x v="1"/>
    <n v="31"/>
    <n v="3.9"/>
    <x v="230"/>
    <n v="2023"/>
    <n v="3"/>
    <n v="9"/>
    <x v="8"/>
    <x v="2"/>
    <x v="1"/>
    <x v="4"/>
    <x v="2"/>
  </r>
  <r>
    <s v="Call_8000"/>
    <x v="2"/>
    <n v="76"/>
    <x v="4"/>
    <n v="108"/>
    <n v="4.9000000000000004"/>
    <x v="231"/>
    <n v="2023"/>
    <n v="3"/>
    <n v="9"/>
    <x v="8"/>
    <x v="3"/>
    <x v="1"/>
    <x v="0"/>
    <x v="0"/>
  </r>
  <r>
    <s v="Call_8001"/>
    <x v="0"/>
    <n v="110"/>
    <x v="4"/>
    <n v="180"/>
    <n v="4.2"/>
    <x v="231"/>
    <n v="2023"/>
    <n v="3"/>
    <n v="9"/>
    <x v="8"/>
    <x v="3"/>
    <x v="1"/>
    <x v="0"/>
    <x v="2"/>
  </r>
  <r>
    <s v="Call_8002"/>
    <x v="7"/>
    <n v="50"/>
    <x v="2"/>
    <n v="124"/>
    <n v="4"/>
    <x v="232"/>
    <n v="2023"/>
    <n v="3"/>
    <n v="9"/>
    <x v="8"/>
    <x v="4"/>
    <x v="1"/>
    <x v="2"/>
    <x v="2"/>
  </r>
  <r>
    <s v="Call_8003"/>
    <x v="5"/>
    <n v="78"/>
    <x v="2"/>
    <n v="23"/>
    <n v="4.2"/>
    <x v="232"/>
    <n v="2023"/>
    <n v="3"/>
    <n v="9"/>
    <x v="8"/>
    <x v="4"/>
    <x v="1"/>
    <x v="0"/>
    <x v="2"/>
  </r>
  <r>
    <s v="Call_8004"/>
    <x v="12"/>
    <n v="59"/>
    <x v="0"/>
    <n v="24"/>
    <n v="4.8"/>
    <x v="233"/>
    <n v="2023"/>
    <n v="3"/>
    <n v="9"/>
    <x v="8"/>
    <x v="5"/>
    <x v="1"/>
    <x v="2"/>
    <x v="0"/>
  </r>
  <r>
    <s v="Call_8005"/>
    <x v="5"/>
    <n v="126"/>
    <x v="1"/>
    <n v="52"/>
    <n v="1.1000000000000001"/>
    <x v="234"/>
    <n v="2023"/>
    <n v="3"/>
    <n v="9"/>
    <x v="8"/>
    <x v="6"/>
    <x v="1"/>
    <x v="1"/>
    <x v="4"/>
  </r>
  <r>
    <s v="Call_8006"/>
    <x v="2"/>
    <n v="43"/>
    <x v="0"/>
    <n v="168"/>
    <n v="4"/>
    <x v="235"/>
    <n v="2023"/>
    <n v="3"/>
    <n v="9"/>
    <x v="8"/>
    <x v="0"/>
    <x v="1"/>
    <x v="2"/>
    <x v="2"/>
  </r>
  <r>
    <s v="Call_8007"/>
    <x v="13"/>
    <n v="79"/>
    <x v="4"/>
    <n v="125"/>
    <n v="4.8"/>
    <x v="236"/>
    <n v="2023"/>
    <n v="3"/>
    <n v="9"/>
    <x v="8"/>
    <x v="2"/>
    <x v="1"/>
    <x v="0"/>
    <x v="0"/>
  </r>
  <r>
    <s v="Call_8008"/>
    <x v="0"/>
    <n v="71"/>
    <x v="0"/>
    <n v="50"/>
    <n v="4.2"/>
    <x v="237"/>
    <n v="2023"/>
    <n v="3"/>
    <n v="9"/>
    <x v="8"/>
    <x v="3"/>
    <x v="1"/>
    <x v="0"/>
    <x v="2"/>
  </r>
  <r>
    <s v="Call_8009"/>
    <x v="9"/>
    <n v="94"/>
    <x v="1"/>
    <n v="220"/>
    <n v="4.5999999999999996"/>
    <x v="238"/>
    <n v="2023"/>
    <n v="3"/>
    <n v="9"/>
    <x v="8"/>
    <x v="4"/>
    <x v="1"/>
    <x v="0"/>
    <x v="0"/>
  </r>
  <r>
    <s v="Call_8010"/>
    <x v="6"/>
    <n v="108"/>
    <x v="0"/>
    <n v="180"/>
    <n v="4"/>
    <x v="238"/>
    <n v="2023"/>
    <n v="3"/>
    <n v="9"/>
    <x v="8"/>
    <x v="4"/>
    <x v="1"/>
    <x v="0"/>
    <x v="2"/>
  </r>
  <r>
    <s v="Call_8011"/>
    <x v="2"/>
    <n v="76"/>
    <x v="1"/>
    <n v="110"/>
    <n v="3.9"/>
    <x v="238"/>
    <n v="2023"/>
    <n v="3"/>
    <n v="9"/>
    <x v="8"/>
    <x v="4"/>
    <x v="1"/>
    <x v="0"/>
    <x v="2"/>
  </r>
  <r>
    <s v="Call_8012"/>
    <x v="12"/>
    <n v="136"/>
    <x v="0"/>
    <n v="36"/>
    <n v="2.8"/>
    <x v="238"/>
    <n v="2023"/>
    <n v="3"/>
    <n v="9"/>
    <x v="8"/>
    <x v="4"/>
    <x v="1"/>
    <x v="1"/>
    <x v="1"/>
  </r>
  <r>
    <s v="Call_8013"/>
    <x v="1"/>
    <n v="129"/>
    <x v="2"/>
    <n v="93"/>
    <n v="4.7"/>
    <x v="239"/>
    <n v="2023"/>
    <n v="3"/>
    <n v="9"/>
    <x v="8"/>
    <x v="5"/>
    <x v="1"/>
    <x v="1"/>
    <x v="0"/>
  </r>
  <r>
    <s v="Call_8014"/>
    <x v="6"/>
    <n v="120"/>
    <x v="0"/>
    <n v="38"/>
    <n v="4.2"/>
    <x v="239"/>
    <n v="2023"/>
    <n v="3"/>
    <n v="9"/>
    <x v="8"/>
    <x v="5"/>
    <x v="1"/>
    <x v="0"/>
    <x v="2"/>
  </r>
  <r>
    <s v="Call_8015"/>
    <x v="2"/>
    <n v="108"/>
    <x v="2"/>
    <n v="66"/>
    <n v="3.9"/>
    <x v="240"/>
    <n v="2023"/>
    <n v="3"/>
    <n v="9"/>
    <x v="8"/>
    <x v="6"/>
    <x v="1"/>
    <x v="0"/>
    <x v="2"/>
  </r>
  <r>
    <s v="Call_8016"/>
    <x v="5"/>
    <n v="79"/>
    <x v="0"/>
    <n v="215"/>
    <n v="4.5999999999999996"/>
    <x v="240"/>
    <n v="2023"/>
    <n v="3"/>
    <n v="9"/>
    <x v="8"/>
    <x v="6"/>
    <x v="1"/>
    <x v="0"/>
    <x v="0"/>
  </r>
  <r>
    <s v="Call_8017"/>
    <x v="5"/>
    <n v="45"/>
    <x v="2"/>
    <n v="92"/>
    <n v="4.3"/>
    <x v="240"/>
    <n v="2023"/>
    <n v="3"/>
    <n v="9"/>
    <x v="8"/>
    <x v="6"/>
    <x v="1"/>
    <x v="2"/>
    <x v="2"/>
  </r>
  <r>
    <s v="Call_8018"/>
    <x v="4"/>
    <n v="96"/>
    <x v="0"/>
    <n v="80"/>
    <n v="3.6"/>
    <x v="240"/>
    <n v="2023"/>
    <n v="3"/>
    <n v="9"/>
    <x v="8"/>
    <x v="6"/>
    <x v="1"/>
    <x v="0"/>
    <x v="2"/>
  </r>
  <r>
    <s v="Call_8019"/>
    <x v="4"/>
    <n v="81"/>
    <x v="0"/>
    <n v="123"/>
    <n v="4.9000000000000004"/>
    <x v="241"/>
    <n v="2023"/>
    <n v="3"/>
    <n v="9"/>
    <x v="8"/>
    <x v="0"/>
    <x v="1"/>
    <x v="0"/>
    <x v="0"/>
  </r>
  <r>
    <s v="Call_8020"/>
    <x v="12"/>
    <n v="95"/>
    <x v="3"/>
    <n v="23"/>
    <n v="2.4"/>
    <x v="241"/>
    <n v="2023"/>
    <n v="3"/>
    <n v="9"/>
    <x v="8"/>
    <x v="0"/>
    <x v="1"/>
    <x v="0"/>
    <x v="3"/>
  </r>
  <r>
    <s v="Call_8021"/>
    <x v="11"/>
    <n v="159"/>
    <x v="1"/>
    <n v="63"/>
    <n v="4.2"/>
    <x v="241"/>
    <n v="2023"/>
    <n v="3"/>
    <n v="9"/>
    <x v="8"/>
    <x v="0"/>
    <x v="1"/>
    <x v="1"/>
    <x v="2"/>
  </r>
  <r>
    <s v="Call_8022"/>
    <x v="14"/>
    <n v="109"/>
    <x v="4"/>
    <n v="52"/>
    <n v="3.9"/>
    <x v="241"/>
    <n v="2023"/>
    <n v="3"/>
    <n v="9"/>
    <x v="8"/>
    <x v="0"/>
    <x v="1"/>
    <x v="0"/>
    <x v="2"/>
  </r>
  <r>
    <s v="Call_8023"/>
    <x v="5"/>
    <n v="107"/>
    <x v="4"/>
    <n v="60"/>
    <n v="4.2"/>
    <x v="241"/>
    <n v="2023"/>
    <n v="3"/>
    <n v="9"/>
    <x v="8"/>
    <x v="0"/>
    <x v="1"/>
    <x v="0"/>
    <x v="2"/>
  </r>
  <r>
    <s v="Call_8024"/>
    <x v="4"/>
    <n v="67"/>
    <x v="2"/>
    <n v="87"/>
    <n v="3.9"/>
    <x v="242"/>
    <n v="2023"/>
    <n v="3"/>
    <n v="9"/>
    <x v="8"/>
    <x v="1"/>
    <x v="1"/>
    <x v="0"/>
    <x v="2"/>
  </r>
  <r>
    <s v="Call_8025"/>
    <x v="8"/>
    <n v="96"/>
    <x v="0"/>
    <n v="42"/>
    <n v="4.5"/>
    <x v="243"/>
    <n v="2023"/>
    <n v="3"/>
    <n v="9"/>
    <x v="8"/>
    <x v="2"/>
    <x v="1"/>
    <x v="0"/>
    <x v="2"/>
  </r>
  <r>
    <s v="Call_8026"/>
    <x v="10"/>
    <n v="142"/>
    <x v="1"/>
    <n v="37"/>
    <n v="3.8"/>
    <x v="244"/>
    <n v="2023"/>
    <n v="3"/>
    <n v="9"/>
    <x v="8"/>
    <x v="3"/>
    <x v="1"/>
    <x v="1"/>
    <x v="2"/>
  </r>
  <r>
    <s v="Call_8027"/>
    <x v="10"/>
    <n v="71"/>
    <x v="3"/>
    <n v="135"/>
    <n v="3.9"/>
    <x v="244"/>
    <n v="2023"/>
    <n v="3"/>
    <n v="9"/>
    <x v="8"/>
    <x v="3"/>
    <x v="1"/>
    <x v="0"/>
    <x v="2"/>
  </r>
  <r>
    <s v="Call_8028"/>
    <x v="8"/>
    <n v="152"/>
    <x v="3"/>
    <n v="88"/>
    <n v="4.7"/>
    <x v="244"/>
    <n v="2023"/>
    <n v="3"/>
    <n v="9"/>
    <x v="8"/>
    <x v="3"/>
    <x v="1"/>
    <x v="1"/>
    <x v="0"/>
  </r>
  <r>
    <s v="Call_8029"/>
    <x v="13"/>
    <n v="108"/>
    <x v="1"/>
    <n v="190"/>
    <n v="3.2"/>
    <x v="244"/>
    <n v="2023"/>
    <n v="3"/>
    <n v="9"/>
    <x v="8"/>
    <x v="3"/>
    <x v="1"/>
    <x v="0"/>
    <x v="1"/>
  </r>
  <r>
    <s v="Call_8030"/>
    <x v="13"/>
    <n v="156"/>
    <x v="3"/>
    <n v="81"/>
    <n v="5"/>
    <x v="244"/>
    <n v="2023"/>
    <n v="3"/>
    <n v="9"/>
    <x v="8"/>
    <x v="3"/>
    <x v="1"/>
    <x v="1"/>
    <x v="0"/>
  </r>
  <r>
    <s v="Call_8031"/>
    <x v="10"/>
    <n v="126"/>
    <x v="1"/>
    <n v="44"/>
    <n v="3.7"/>
    <x v="244"/>
    <n v="2023"/>
    <n v="3"/>
    <n v="9"/>
    <x v="8"/>
    <x v="3"/>
    <x v="1"/>
    <x v="1"/>
    <x v="2"/>
  </r>
  <r>
    <s v="Call_8032"/>
    <x v="2"/>
    <n v="135"/>
    <x v="3"/>
    <n v="92"/>
    <n v="3.9"/>
    <x v="245"/>
    <n v="2023"/>
    <n v="3"/>
    <n v="9"/>
    <x v="8"/>
    <x v="4"/>
    <x v="1"/>
    <x v="1"/>
    <x v="2"/>
  </r>
  <r>
    <s v="Call_8033"/>
    <x v="10"/>
    <n v="110"/>
    <x v="0"/>
    <n v="90"/>
    <n v="3.1"/>
    <x v="246"/>
    <n v="2023"/>
    <n v="3"/>
    <n v="9"/>
    <x v="8"/>
    <x v="5"/>
    <x v="1"/>
    <x v="0"/>
    <x v="1"/>
  </r>
  <r>
    <s v="Call_8034"/>
    <x v="11"/>
    <n v="64"/>
    <x v="3"/>
    <n v="112"/>
    <n v="2"/>
    <x v="246"/>
    <n v="2023"/>
    <n v="3"/>
    <n v="9"/>
    <x v="8"/>
    <x v="5"/>
    <x v="1"/>
    <x v="0"/>
    <x v="3"/>
  </r>
  <r>
    <s v="Call_8035"/>
    <x v="9"/>
    <n v="127"/>
    <x v="1"/>
    <n v="112"/>
    <n v="4.5999999999999996"/>
    <x v="246"/>
    <n v="2023"/>
    <n v="3"/>
    <n v="9"/>
    <x v="8"/>
    <x v="5"/>
    <x v="1"/>
    <x v="1"/>
    <x v="0"/>
  </r>
  <r>
    <s v="Call_8036"/>
    <x v="14"/>
    <n v="124"/>
    <x v="2"/>
    <n v="48"/>
    <n v="3.7"/>
    <x v="246"/>
    <n v="2023"/>
    <n v="3"/>
    <n v="9"/>
    <x v="8"/>
    <x v="5"/>
    <x v="1"/>
    <x v="1"/>
    <x v="2"/>
  </r>
  <r>
    <s v="Call_8037"/>
    <x v="11"/>
    <n v="125"/>
    <x v="1"/>
    <n v="116"/>
    <n v="4.4000000000000004"/>
    <x v="246"/>
    <n v="2023"/>
    <n v="3"/>
    <n v="9"/>
    <x v="8"/>
    <x v="5"/>
    <x v="1"/>
    <x v="1"/>
    <x v="2"/>
  </r>
  <r>
    <s v="Call_8038"/>
    <x v="1"/>
    <n v="70"/>
    <x v="1"/>
    <n v="29"/>
    <n v="2.1"/>
    <x v="246"/>
    <n v="2023"/>
    <n v="3"/>
    <n v="9"/>
    <x v="8"/>
    <x v="5"/>
    <x v="1"/>
    <x v="0"/>
    <x v="3"/>
  </r>
  <r>
    <s v="Call_8039"/>
    <x v="9"/>
    <n v="93"/>
    <x v="3"/>
    <n v="170"/>
    <n v="2.2000000000000002"/>
    <x v="247"/>
    <n v="2023"/>
    <n v="3"/>
    <n v="9"/>
    <x v="8"/>
    <x v="6"/>
    <x v="1"/>
    <x v="0"/>
    <x v="3"/>
  </r>
  <r>
    <s v="Call_8040"/>
    <x v="1"/>
    <n v="120"/>
    <x v="4"/>
    <n v="68"/>
    <n v="3.4"/>
    <x v="247"/>
    <n v="2023"/>
    <n v="3"/>
    <n v="9"/>
    <x v="8"/>
    <x v="6"/>
    <x v="1"/>
    <x v="0"/>
    <x v="1"/>
  </r>
  <r>
    <s v="Call_8041"/>
    <x v="4"/>
    <n v="96"/>
    <x v="0"/>
    <n v="195"/>
    <n v="2.7"/>
    <x v="247"/>
    <n v="2023"/>
    <n v="3"/>
    <n v="9"/>
    <x v="8"/>
    <x v="6"/>
    <x v="1"/>
    <x v="0"/>
    <x v="1"/>
  </r>
  <r>
    <s v="Call_8042"/>
    <x v="3"/>
    <n v="67"/>
    <x v="0"/>
    <n v="96"/>
    <n v="3.7"/>
    <x v="247"/>
    <n v="2023"/>
    <n v="3"/>
    <n v="9"/>
    <x v="8"/>
    <x v="6"/>
    <x v="1"/>
    <x v="0"/>
    <x v="2"/>
  </r>
  <r>
    <s v="Call_8043"/>
    <x v="11"/>
    <n v="119"/>
    <x v="0"/>
    <n v="96"/>
    <n v="3.1"/>
    <x v="247"/>
    <n v="2023"/>
    <n v="3"/>
    <n v="9"/>
    <x v="8"/>
    <x v="6"/>
    <x v="1"/>
    <x v="0"/>
    <x v="1"/>
  </r>
  <r>
    <s v="Call_8044"/>
    <x v="14"/>
    <n v="61"/>
    <x v="2"/>
    <n v="117"/>
    <n v="4.0999999999999996"/>
    <x v="247"/>
    <n v="2023"/>
    <n v="3"/>
    <n v="9"/>
    <x v="8"/>
    <x v="6"/>
    <x v="1"/>
    <x v="0"/>
    <x v="2"/>
  </r>
  <r>
    <s v="Call_8045"/>
    <x v="4"/>
    <n v="29"/>
    <x v="3"/>
    <n v="80"/>
    <n v="4.8"/>
    <x v="247"/>
    <n v="2023"/>
    <n v="3"/>
    <n v="9"/>
    <x v="8"/>
    <x v="6"/>
    <x v="1"/>
    <x v="3"/>
    <x v="0"/>
  </r>
  <r>
    <s v="Call_8046"/>
    <x v="8"/>
    <n v="134"/>
    <x v="4"/>
    <n v="117"/>
    <n v="4"/>
    <x v="247"/>
    <n v="2023"/>
    <n v="3"/>
    <n v="9"/>
    <x v="8"/>
    <x v="6"/>
    <x v="1"/>
    <x v="1"/>
    <x v="2"/>
  </r>
  <r>
    <s v="Call_8047"/>
    <x v="10"/>
    <n v="113"/>
    <x v="0"/>
    <n v="40"/>
    <n v="3"/>
    <x v="248"/>
    <n v="2023"/>
    <n v="4"/>
    <n v="10"/>
    <x v="9"/>
    <x v="0"/>
    <x v="1"/>
    <x v="0"/>
    <x v="1"/>
  </r>
  <r>
    <s v="Call_8048"/>
    <x v="13"/>
    <n v="12"/>
    <x v="4"/>
    <n v="117"/>
    <n v="4.8"/>
    <x v="248"/>
    <n v="2023"/>
    <n v="4"/>
    <n v="10"/>
    <x v="9"/>
    <x v="0"/>
    <x v="1"/>
    <x v="3"/>
    <x v="0"/>
  </r>
  <r>
    <s v="Call_8049"/>
    <x v="7"/>
    <n v="78"/>
    <x v="3"/>
    <n v="135"/>
    <n v="4.0999999999999996"/>
    <x v="248"/>
    <n v="2023"/>
    <n v="4"/>
    <n v="10"/>
    <x v="9"/>
    <x v="0"/>
    <x v="1"/>
    <x v="0"/>
    <x v="2"/>
  </r>
  <r>
    <s v="Call_8050"/>
    <x v="11"/>
    <n v="82"/>
    <x v="1"/>
    <n v="99"/>
    <n v="4.2"/>
    <x v="248"/>
    <n v="2023"/>
    <n v="4"/>
    <n v="10"/>
    <x v="9"/>
    <x v="0"/>
    <x v="1"/>
    <x v="0"/>
    <x v="2"/>
  </r>
  <r>
    <s v="Call_8051"/>
    <x v="6"/>
    <n v="149"/>
    <x v="2"/>
    <n v="130"/>
    <n v="3.3"/>
    <x v="248"/>
    <n v="2023"/>
    <n v="4"/>
    <n v="10"/>
    <x v="9"/>
    <x v="0"/>
    <x v="1"/>
    <x v="1"/>
    <x v="1"/>
  </r>
  <r>
    <s v="Call_8052"/>
    <x v="5"/>
    <n v="56"/>
    <x v="4"/>
    <n v="96"/>
    <n v="4.7"/>
    <x v="248"/>
    <n v="2023"/>
    <n v="4"/>
    <n v="10"/>
    <x v="9"/>
    <x v="0"/>
    <x v="1"/>
    <x v="2"/>
    <x v="0"/>
  </r>
  <r>
    <s v="Call_8053"/>
    <x v="4"/>
    <n v="80"/>
    <x v="2"/>
    <n v="128"/>
    <n v="3.7"/>
    <x v="248"/>
    <n v="2023"/>
    <n v="4"/>
    <n v="10"/>
    <x v="9"/>
    <x v="0"/>
    <x v="1"/>
    <x v="0"/>
    <x v="2"/>
  </r>
  <r>
    <s v="Call_8054"/>
    <x v="14"/>
    <n v="131"/>
    <x v="0"/>
    <n v="69"/>
    <n v="4.7"/>
    <x v="248"/>
    <n v="2023"/>
    <n v="4"/>
    <n v="10"/>
    <x v="9"/>
    <x v="0"/>
    <x v="1"/>
    <x v="1"/>
    <x v="0"/>
  </r>
  <r>
    <s v="Call_8055"/>
    <x v="14"/>
    <n v="109"/>
    <x v="0"/>
    <n v="44"/>
    <n v="4.5999999999999996"/>
    <x v="248"/>
    <n v="2023"/>
    <n v="4"/>
    <n v="10"/>
    <x v="9"/>
    <x v="0"/>
    <x v="1"/>
    <x v="0"/>
    <x v="0"/>
  </r>
  <r>
    <s v="Call_8056"/>
    <x v="5"/>
    <n v="142"/>
    <x v="0"/>
    <n v="44"/>
    <n v="4.8"/>
    <x v="248"/>
    <n v="2023"/>
    <n v="4"/>
    <n v="10"/>
    <x v="9"/>
    <x v="0"/>
    <x v="1"/>
    <x v="1"/>
    <x v="0"/>
  </r>
  <r>
    <s v="Call_8057"/>
    <x v="9"/>
    <n v="114"/>
    <x v="4"/>
    <n v="135"/>
    <n v="2"/>
    <x v="249"/>
    <n v="2023"/>
    <n v="4"/>
    <n v="10"/>
    <x v="9"/>
    <x v="1"/>
    <x v="1"/>
    <x v="0"/>
    <x v="3"/>
  </r>
  <r>
    <s v="Call_8058"/>
    <x v="3"/>
    <n v="93"/>
    <x v="2"/>
    <n v="45"/>
    <n v="3.9"/>
    <x v="249"/>
    <n v="2023"/>
    <n v="4"/>
    <n v="10"/>
    <x v="9"/>
    <x v="1"/>
    <x v="1"/>
    <x v="0"/>
    <x v="2"/>
  </r>
  <r>
    <s v="Call_8059"/>
    <x v="13"/>
    <n v="43"/>
    <x v="2"/>
    <n v="87"/>
    <n v="3"/>
    <x v="249"/>
    <n v="2023"/>
    <n v="4"/>
    <n v="10"/>
    <x v="9"/>
    <x v="1"/>
    <x v="1"/>
    <x v="2"/>
    <x v="1"/>
  </r>
  <r>
    <s v="Call_8060"/>
    <x v="8"/>
    <n v="78"/>
    <x v="3"/>
    <n v="84"/>
    <n v="4.5999999999999996"/>
    <x v="250"/>
    <n v="2023"/>
    <n v="4"/>
    <n v="10"/>
    <x v="9"/>
    <x v="2"/>
    <x v="1"/>
    <x v="0"/>
    <x v="0"/>
  </r>
  <r>
    <s v="Call_8061"/>
    <x v="9"/>
    <n v="89"/>
    <x v="0"/>
    <n v="81"/>
    <n v="3.8"/>
    <x v="250"/>
    <n v="2023"/>
    <n v="4"/>
    <n v="10"/>
    <x v="9"/>
    <x v="2"/>
    <x v="1"/>
    <x v="0"/>
    <x v="2"/>
  </r>
  <r>
    <s v="Call_8062"/>
    <x v="5"/>
    <n v="82"/>
    <x v="1"/>
    <n v="130"/>
    <n v="4.4000000000000004"/>
    <x v="250"/>
    <n v="2023"/>
    <n v="4"/>
    <n v="10"/>
    <x v="9"/>
    <x v="2"/>
    <x v="1"/>
    <x v="0"/>
    <x v="2"/>
  </r>
  <r>
    <s v="Call_8063"/>
    <x v="4"/>
    <n v="86"/>
    <x v="0"/>
    <n v="92"/>
    <n v="2.4"/>
    <x v="251"/>
    <n v="2023"/>
    <n v="4"/>
    <n v="10"/>
    <x v="9"/>
    <x v="3"/>
    <x v="1"/>
    <x v="0"/>
    <x v="3"/>
  </r>
  <r>
    <s v="Call_8064"/>
    <x v="12"/>
    <n v="57"/>
    <x v="3"/>
    <n v="48"/>
    <n v="4.5"/>
    <x v="251"/>
    <n v="2023"/>
    <n v="4"/>
    <n v="10"/>
    <x v="9"/>
    <x v="3"/>
    <x v="1"/>
    <x v="2"/>
    <x v="2"/>
  </r>
  <r>
    <s v="Call_8065"/>
    <x v="3"/>
    <n v="103"/>
    <x v="4"/>
    <n v="160"/>
    <n v="4.5"/>
    <x v="251"/>
    <n v="2023"/>
    <n v="4"/>
    <n v="10"/>
    <x v="9"/>
    <x v="3"/>
    <x v="1"/>
    <x v="0"/>
    <x v="2"/>
  </r>
  <r>
    <s v="Call_8066"/>
    <x v="7"/>
    <n v="138"/>
    <x v="3"/>
    <n v="155"/>
    <n v="2.7"/>
    <x v="252"/>
    <n v="2023"/>
    <n v="4"/>
    <n v="10"/>
    <x v="9"/>
    <x v="4"/>
    <x v="1"/>
    <x v="1"/>
    <x v="1"/>
  </r>
  <r>
    <s v="Call_8067"/>
    <x v="6"/>
    <n v="88"/>
    <x v="1"/>
    <n v="100"/>
    <n v="4.9000000000000004"/>
    <x v="252"/>
    <n v="2023"/>
    <n v="4"/>
    <n v="10"/>
    <x v="9"/>
    <x v="4"/>
    <x v="1"/>
    <x v="0"/>
    <x v="0"/>
  </r>
  <r>
    <s v="Call_8068"/>
    <x v="9"/>
    <n v="118"/>
    <x v="2"/>
    <n v="56"/>
    <n v="3.7"/>
    <x v="252"/>
    <n v="2023"/>
    <n v="4"/>
    <n v="10"/>
    <x v="9"/>
    <x v="4"/>
    <x v="1"/>
    <x v="0"/>
    <x v="2"/>
  </r>
  <r>
    <s v="Call_8069"/>
    <x v="4"/>
    <n v="4"/>
    <x v="0"/>
    <n v="170"/>
    <n v="3.9"/>
    <x v="252"/>
    <n v="2023"/>
    <n v="4"/>
    <n v="10"/>
    <x v="9"/>
    <x v="4"/>
    <x v="1"/>
    <x v="4"/>
    <x v="2"/>
  </r>
  <r>
    <s v="Call_8070"/>
    <x v="13"/>
    <n v="78"/>
    <x v="4"/>
    <n v="74"/>
    <n v="3.5"/>
    <x v="253"/>
    <n v="2023"/>
    <n v="4"/>
    <n v="10"/>
    <x v="9"/>
    <x v="5"/>
    <x v="1"/>
    <x v="0"/>
    <x v="2"/>
  </r>
  <r>
    <s v="Call_8071"/>
    <x v="10"/>
    <n v="69"/>
    <x v="0"/>
    <n v="99"/>
    <n v="2.7"/>
    <x v="253"/>
    <n v="2023"/>
    <n v="4"/>
    <n v="10"/>
    <x v="9"/>
    <x v="5"/>
    <x v="1"/>
    <x v="0"/>
    <x v="1"/>
  </r>
  <r>
    <s v="Call_8072"/>
    <x v="5"/>
    <n v="90"/>
    <x v="3"/>
    <n v="84"/>
    <n v="3.9"/>
    <x v="253"/>
    <n v="2023"/>
    <n v="4"/>
    <n v="10"/>
    <x v="9"/>
    <x v="5"/>
    <x v="1"/>
    <x v="0"/>
    <x v="2"/>
  </r>
  <r>
    <s v="Call_8073"/>
    <x v="10"/>
    <n v="134"/>
    <x v="0"/>
    <n v="35"/>
    <n v="3.4"/>
    <x v="253"/>
    <n v="2023"/>
    <n v="4"/>
    <n v="10"/>
    <x v="9"/>
    <x v="5"/>
    <x v="1"/>
    <x v="1"/>
    <x v="1"/>
  </r>
  <r>
    <s v="Call_8074"/>
    <x v="1"/>
    <n v="65"/>
    <x v="2"/>
    <n v="150"/>
    <n v="5"/>
    <x v="253"/>
    <n v="2023"/>
    <n v="4"/>
    <n v="10"/>
    <x v="9"/>
    <x v="5"/>
    <x v="1"/>
    <x v="0"/>
    <x v="0"/>
  </r>
  <r>
    <s v="Call_8075"/>
    <x v="2"/>
    <n v="54"/>
    <x v="4"/>
    <n v="176"/>
    <n v="4.4000000000000004"/>
    <x v="254"/>
    <n v="2023"/>
    <n v="4"/>
    <n v="10"/>
    <x v="9"/>
    <x v="6"/>
    <x v="1"/>
    <x v="2"/>
    <x v="2"/>
  </r>
  <r>
    <s v="Call_8076"/>
    <x v="2"/>
    <n v="90"/>
    <x v="4"/>
    <n v="84"/>
    <n v="4.3"/>
    <x v="254"/>
    <n v="2023"/>
    <n v="4"/>
    <n v="10"/>
    <x v="9"/>
    <x v="6"/>
    <x v="1"/>
    <x v="0"/>
    <x v="2"/>
  </r>
  <r>
    <s v="Call_8077"/>
    <x v="5"/>
    <n v="66"/>
    <x v="4"/>
    <n v="136"/>
    <n v="4.7"/>
    <x v="254"/>
    <n v="2023"/>
    <n v="4"/>
    <n v="10"/>
    <x v="9"/>
    <x v="6"/>
    <x v="1"/>
    <x v="0"/>
    <x v="0"/>
  </r>
  <r>
    <s v="Call_8078"/>
    <x v="4"/>
    <n v="150"/>
    <x v="4"/>
    <n v="70"/>
    <n v="4.0999999999999996"/>
    <x v="255"/>
    <n v="2023"/>
    <n v="4"/>
    <n v="10"/>
    <x v="9"/>
    <x v="0"/>
    <x v="1"/>
    <x v="1"/>
    <x v="2"/>
  </r>
  <r>
    <s v="Call_8079"/>
    <x v="8"/>
    <n v="18"/>
    <x v="2"/>
    <n v="96"/>
    <n v="4.8"/>
    <x v="255"/>
    <n v="2023"/>
    <n v="4"/>
    <n v="10"/>
    <x v="9"/>
    <x v="0"/>
    <x v="1"/>
    <x v="3"/>
    <x v="0"/>
  </r>
  <r>
    <s v="Call_8080"/>
    <x v="2"/>
    <n v="87"/>
    <x v="2"/>
    <n v="23"/>
    <n v="4.2"/>
    <x v="255"/>
    <n v="2023"/>
    <n v="4"/>
    <n v="10"/>
    <x v="9"/>
    <x v="0"/>
    <x v="1"/>
    <x v="0"/>
    <x v="2"/>
  </r>
  <r>
    <s v="Call_8081"/>
    <x v="7"/>
    <n v="94"/>
    <x v="4"/>
    <n v="120"/>
    <n v="3.4"/>
    <x v="256"/>
    <n v="2023"/>
    <n v="4"/>
    <n v="10"/>
    <x v="9"/>
    <x v="1"/>
    <x v="1"/>
    <x v="0"/>
    <x v="1"/>
  </r>
  <r>
    <s v="Call_8082"/>
    <x v="12"/>
    <n v="56"/>
    <x v="4"/>
    <n v="205"/>
    <n v="3.3"/>
    <x v="256"/>
    <n v="2023"/>
    <n v="4"/>
    <n v="10"/>
    <x v="9"/>
    <x v="1"/>
    <x v="1"/>
    <x v="2"/>
    <x v="1"/>
  </r>
  <r>
    <s v="Call_8083"/>
    <x v="9"/>
    <n v="41"/>
    <x v="1"/>
    <n v="42"/>
    <n v="3.8"/>
    <x v="257"/>
    <n v="2023"/>
    <n v="4"/>
    <n v="10"/>
    <x v="9"/>
    <x v="2"/>
    <x v="1"/>
    <x v="2"/>
    <x v="2"/>
  </r>
  <r>
    <s v="Call_8084"/>
    <x v="4"/>
    <n v="119"/>
    <x v="3"/>
    <n v="111"/>
    <n v="3.9"/>
    <x v="257"/>
    <n v="2023"/>
    <n v="4"/>
    <n v="10"/>
    <x v="9"/>
    <x v="2"/>
    <x v="1"/>
    <x v="0"/>
    <x v="2"/>
  </r>
  <r>
    <s v="Call_8085"/>
    <x v="3"/>
    <n v="108"/>
    <x v="4"/>
    <n v="68"/>
    <n v="2.5"/>
    <x v="257"/>
    <n v="2023"/>
    <n v="4"/>
    <n v="10"/>
    <x v="9"/>
    <x v="2"/>
    <x v="1"/>
    <x v="0"/>
    <x v="3"/>
  </r>
  <r>
    <s v="Call_8086"/>
    <x v="13"/>
    <n v="63"/>
    <x v="0"/>
    <n v="172"/>
    <n v="4.9000000000000004"/>
    <x v="257"/>
    <n v="2023"/>
    <n v="4"/>
    <n v="10"/>
    <x v="9"/>
    <x v="2"/>
    <x v="1"/>
    <x v="0"/>
    <x v="0"/>
  </r>
  <r>
    <s v="Call_8087"/>
    <x v="11"/>
    <n v="59"/>
    <x v="4"/>
    <n v="152"/>
    <n v="4.8"/>
    <x v="257"/>
    <n v="2023"/>
    <n v="4"/>
    <n v="10"/>
    <x v="9"/>
    <x v="2"/>
    <x v="1"/>
    <x v="2"/>
    <x v="0"/>
  </r>
  <r>
    <s v="Call_8088"/>
    <x v="11"/>
    <n v="90"/>
    <x v="1"/>
    <n v="48"/>
    <n v="4.7"/>
    <x v="257"/>
    <n v="2023"/>
    <n v="4"/>
    <n v="10"/>
    <x v="9"/>
    <x v="2"/>
    <x v="1"/>
    <x v="0"/>
    <x v="0"/>
  </r>
  <r>
    <s v="Call_8089"/>
    <x v="6"/>
    <n v="55"/>
    <x v="1"/>
    <n v="25"/>
    <n v="4.7"/>
    <x v="257"/>
    <n v="2023"/>
    <n v="4"/>
    <n v="10"/>
    <x v="9"/>
    <x v="2"/>
    <x v="1"/>
    <x v="2"/>
    <x v="0"/>
  </r>
  <r>
    <s v="Call_8090"/>
    <x v="3"/>
    <n v="84"/>
    <x v="3"/>
    <n v="54"/>
    <n v="3.3"/>
    <x v="258"/>
    <n v="2023"/>
    <n v="4"/>
    <n v="10"/>
    <x v="9"/>
    <x v="3"/>
    <x v="1"/>
    <x v="0"/>
    <x v="1"/>
  </r>
  <r>
    <s v="Call_8091"/>
    <x v="3"/>
    <n v="150"/>
    <x v="2"/>
    <n v="108"/>
    <n v="4.7"/>
    <x v="258"/>
    <n v="2023"/>
    <n v="4"/>
    <n v="10"/>
    <x v="9"/>
    <x v="3"/>
    <x v="1"/>
    <x v="1"/>
    <x v="0"/>
  </r>
  <r>
    <s v="Call_8092"/>
    <x v="14"/>
    <n v="69"/>
    <x v="4"/>
    <n v="36"/>
    <n v="4.5"/>
    <x v="258"/>
    <n v="2023"/>
    <n v="4"/>
    <n v="10"/>
    <x v="9"/>
    <x v="3"/>
    <x v="1"/>
    <x v="0"/>
    <x v="2"/>
  </r>
  <r>
    <s v="Call_8093"/>
    <x v="0"/>
    <n v="120"/>
    <x v="1"/>
    <n v="140"/>
    <n v="4.5999999999999996"/>
    <x v="259"/>
    <n v="2023"/>
    <n v="4"/>
    <n v="10"/>
    <x v="9"/>
    <x v="4"/>
    <x v="1"/>
    <x v="0"/>
    <x v="0"/>
  </r>
  <r>
    <s v="Call_8094"/>
    <x v="2"/>
    <n v="126"/>
    <x v="3"/>
    <n v="50"/>
    <n v="4.8"/>
    <x v="259"/>
    <n v="2023"/>
    <n v="4"/>
    <n v="10"/>
    <x v="9"/>
    <x v="4"/>
    <x v="1"/>
    <x v="1"/>
    <x v="0"/>
  </r>
  <r>
    <s v="Call_8095"/>
    <x v="14"/>
    <n v="120"/>
    <x v="0"/>
    <n v="195"/>
    <n v="4.3"/>
    <x v="259"/>
    <n v="2023"/>
    <n v="4"/>
    <n v="10"/>
    <x v="9"/>
    <x v="4"/>
    <x v="1"/>
    <x v="0"/>
    <x v="2"/>
  </r>
  <r>
    <s v="Call_8096"/>
    <x v="2"/>
    <n v="139"/>
    <x v="1"/>
    <n v="48"/>
    <n v="4.7"/>
    <x v="260"/>
    <n v="2023"/>
    <n v="4"/>
    <n v="10"/>
    <x v="9"/>
    <x v="5"/>
    <x v="1"/>
    <x v="1"/>
    <x v="0"/>
  </r>
  <r>
    <s v="Call_8097"/>
    <x v="6"/>
    <n v="124"/>
    <x v="4"/>
    <n v="29"/>
    <n v="4.8"/>
    <x v="261"/>
    <n v="2023"/>
    <n v="4"/>
    <n v="10"/>
    <x v="9"/>
    <x v="6"/>
    <x v="1"/>
    <x v="1"/>
    <x v="0"/>
  </r>
  <r>
    <s v="Call_8098"/>
    <x v="0"/>
    <n v="108"/>
    <x v="0"/>
    <n v="44"/>
    <n v="4.7"/>
    <x v="261"/>
    <n v="2023"/>
    <n v="4"/>
    <n v="10"/>
    <x v="9"/>
    <x v="6"/>
    <x v="1"/>
    <x v="0"/>
    <x v="0"/>
  </r>
  <r>
    <s v="Call_8099"/>
    <x v="1"/>
    <n v="132"/>
    <x v="2"/>
    <n v="140"/>
    <n v="4.3"/>
    <x v="261"/>
    <n v="2023"/>
    <n v="4"/>
    <n v="10"/>
    <x v="9"/>
    <x v="6"/>
    <x v="1"/>
    <x v="1"/>
    <x v="2"/>
  </r>
  <r>
    <s v="Call_8100"/>
    <x v="13"/>
    <n v="67"/>
    <x v="2"/>
    <n v="105"/>
    <n v="3.8"/>
    <x v="261"/>
    <n v="2023"/>
    <n v="4"/>
    <n v="10"/>
    <x v="9"/>
    <x v="6"/>
    <x v="1"/>
    <x v="0"/>
    <x v="2"/>
  </r>
  <r>
    <s v="Call_8101"/>
    <x v="5"/>
    <n v="125"/>
    <x v="2"/>
    <n v="82"/>
    <n v="4.5999999999999996"/>
    <x v="261"/>
    <n v="2023"/>
    <n v="4"/>
    <n v="10"/>
    <x v="9"/>
    <x v="6"/>
    <x v="1"/>
    <x v="1"/>
    <x v="0"/>
  </r>
  <r>
    <s v="Call_8102"/>
    <x v="0"/>
    <n v="23"/>
    <x v="0"/>
    <n v="24"/>
    <n v="2.9"/>
    <x v="261"/>
    <n v="2023"/>
    <n v="4"/>
    <n v="10"/>
    <x v="9"/>
    <x v="6"/>
    <x v="1"/>
    <x v="3"/>
    <x v="1"/>
  </r>
  <r>
    <s v="Call_8103"/>
    <x v="4"/>
    <n v="131"/>
    <x v="4"/>
    <n v="205"/>
    <n v="4.8"/>
    <x v="262"/>
    <n v="2023"/>
    <n v="4"/>
    <n v="10"/>
    <x v="9"/>
    <x v="0"/>
    <x v="1"/>
    <x v="1"/>
    <x v="0"/>
  </r>
  <r>
    <s v="Call_8104"/>
    <x v="1"/>
    <n v="56"/>
    <x v="1"/>
    <n v="225"/>
    <n v="4.9000000000000004"/>
    <x v="262"/>
    <n v="2023"/>
    <n v="4"/>
    <n v="10"/>
    <x v="9"/>
    <x v="0"/>
    <x v="1"/>
    <x v="2"/>
    <x v="0"/>
  </r>
  <r>
    <s v="Call_8105"/>
    <x v="4"/>
    <n v="70"/>
    <x v="4"/>
    <n v="50"/>
    <n v="3.4"/>
    <x v="262"/>
    <n v="2023"/>
    <n v="4"/>
    <n v="10"/>
    <x v="9"/>
    <x v="0"/>
    <x v="1"/>
    <x v="0"/>
    <x v="1"/>
  </r>
  <r>
    <s v="Call_8106"/>
    <x v="4"/>
    <n v="55"/>
    <x v="2"/>
    <n v="80"/>
    <n v="4.3"/>
    <x v="262"/>
    <n v="2023"/>
    <n v="4"/>
    <n v="10"/>
    <x v="9"/>
    <x v="0"/>
    <x v="1"/>
    <x v="2"/>
    <x v="2"/>
  </r>
  <r>
    <s v="Call_8107"/>
    <x v="5"/>
    <n v="77"/>
    <x v="1"/>
    <n v="78"/>
    <n v="3.9"/>
    <x v="262"/>
    <n v="2023"/>
    <n v="4"/>
    <n v="10"/>
    <x v="9"/>
    <x v="0"/>
    <x v="1"/>
    <x v="0"/>
    <x v="2"/>
  </r>
  <r>
    <s v="Call_8108"/>
    <x v="3"/>
    <n v="133"/>
    <x v="4"/>
    <n v="40"/>
    <n v="3.9"/>
    <x v="263"/>
    <n v="2023"/>
    <n v="4"/>
    <n v="10"/>
    <x v="9"/>
    <x v="1"/>
    <x v="1"/>
    <x v="1"/>
    <x v="2"/>
  </r>
  <r>
    <s v="Call_8109"/>
    <x v="5"/>
    <n v="77"/>
    <x v="1"/>
    <n v="176"/>
    <n v="1.5"/>
    <x v="263"/>
    <n v="2023"/>
    <n v="4"/>
    <n v="10"/>
    <x v="9"/>
    <x v="1"/>
    <x v="1"/>
    <x v="0"/>
    <x v="3"/>
  </r>
  <r>
    <s v="Call_8110"/>
    <x v="11"/>
    <n v="103"/>
    <x v="4"/>
    <n v="78"/>
    <n v="3"/>
    <x v="263"/>
    <n v="2023"/>
    <n v="4"/>
    <n v="10"/>
    <x v="9"/>
    <x v="1"/>
    <x v="1"/>
    <x v="0"/>
    <x v="1"/>
  </r>
  <r>
    <s v="Call_8111"/>
    <x v="14"/>
    <n v="32"/>
    <x v="1"/>
    <n v="42"/>
    <n v="4.2"/>
    <x v="263"/>
    <n v="2023"/>
    <n v="4"/>
    <n v="10"/>
    <x v="9"/>
    <x v="1"/>
    <x v="1"/>
    <x v="2"/>
    <x v="2"/>
  </r>
  <r>
    <s v="Call_8112"/>
    <x v="3"/>
    <n v="30"/>
    <x v="4"/>
    <n v="38"/>
    <n v="3.7"/>
    <x v="263"/>
    <n v="2023"/>
    <n v="4"/>
    <n v="10"/>
    <x v="9"/>
    <x v="1"/>
    <x v="1"/>
    <x v="3"/>
    <x v="2"/>
  </r>
  <r>
    <s v="Call_8113"/>
    <x v="2"/>
    <n v="87"/>
    <x v="3"/>
    <n v="27"/>
    <n v="4.2"/>
    <x v="263"/>
    <n v="2023"/>
    <n v="4"/>
    <n v="10"/>
    <x v="9"/>
    <x v="1"/>
    <x v="1"/>
    <x v="0"/>
    <x v="2"/>
  </r>
  <r>
    <s v="Call_8114"/>
    <x v="5"/>
    <n v="137"/>
    <x v="0"/>
    <n v="45"/>
    <n v="4.4000000000000004"/>
    <x v="264"/>
    <n v="2023"/>
    <n v="4"/>
    <n v="10"/>
    <x v="9"/>
    <x v="2"/>
    <x v="1"/>
    <x v="1"/>
    <x v="2"/>
  </r>
  <r>
    <s v="Call_8115"/>
    <x v="7"/>
    <n v="96"/>
    <x v="4"/>
    <n v="215"/>
    <n v="4"/>
    <x v="264"/>
    <n v="2023"/>
    <n v="4"/>
    <n v="10"/>
    <x v="9"/>
    <x v="2"/>
    <x v="1"/>
    <x v="0"/>
    <x v="2"/>
  </r>
  <r>
    <s v="Call_8116"/>
    <x v="6"/>
    <n v="155"/>
    <x v="4"/>
    <n v="72"/>
    <n v="4.7"/>
    <x v="265"/>
    <n v="2023"/>
    <n v="4"/>
    <n v="10"/>
    <x v="9"/>
    <x v="3"/>
    <x v="1"/>
    <x v="1"/>
    <x v="0"/>
  </r>
  <r>
    <s v="Call_8117"/>
    <x v="3"/>
    <n v="173"/>
    <x v="2"/>
    <n v="160"/>
    <n v="2.8"/>
    <x v="265"/>
    <n v="2023"/>
    <n v="4"/>
    <n v="10"/>
    <x v="9"/>
    <x v="3"/>
    <x v="1"/>
    <x v="1"/>
    <x v="1"/>
  </r>
  <r>
    <s v="Call_8118"/>
    <x v="6"/>
    <n v="127"/>
    <x v="4"/>
    <n v="165"/>
    <n v="2.5"/>
    <x v="265"/>
    <n v="2023"/>
    <n v="4"/>
    <n v="10"/>
    <x v="9"/>
    <x v="3"/>
    <x v="1"/>
    <x v="1"/>
    <x v="3"/>
  </r>
  <r>
    <s v="Call_8119"/>
    <x v="1"/>
    <n v="117"/>
    <x v="2"/>
    <n v="120"/>
    <n v="3.4"/>
    <x v="265"/>
    <n v="2023"/>
    <n v="4"/>
    <n v="10"/>
    <x v="9"/>
    <x v="3"/>
    <x v="1"/>
    <x v="0"/>
    <x v="1"/>
  </r>
  <r>
    <s v="Call_8120"/>
    <x v="0"/>
    <n v="133"/>
    <x v="1"/>
    <n v="117"/>
    <n v="4.8"/>
    <x v="265"/>
    <n v="2023"/>
    <n v="4"/>
    <n v="10"/>
    <x v="9"/>
    <x v="3"/>
    <x v="1"/>
    <x v="1"/>
    <x v="0"/>
  </r>
  <r>
    <s v="Call_8121"/>
    <x v="8"/>
    <n v="166"/>
    <x v="3"/>
    <n v="29"/>
    <n v="4.3"/>
    <x v="266"/>
    <n v="2023"/>
    <n v="4"/>
    <n v="10"/>
    <x v="9"/>
    <x v="4"/>
    <x v="1"/>
    <x v="1"/>
    <x v="2"/>
  </r>
  <r>
    <s v="Call_8122"/>
    <x v="0"/>
    <n v="50"/>
    <x v="2"/>
    <n v="64"/>
    <n v="4.5"/>
    <x v="266"/>
    <n v="2023"/>
    <n v="4"/>
    <n v="10"/>
    <x v="9"/>
    <x v="4"/>
    <x v="1"/>
    <x v="2"/>
    <x v="2"/>
  </r>
  <r>
    <s v="Call_8123"/>
    <x v="11"/>
    <n v="43"/>
    <x v="1"/>
    <n v="84"/>
    <n v="3.6"/>
    <x v="266"/>
    <n v="2023"/>
    <n v="4"/>
    <n v="10"/>
    <x v="9"/>
    <x v="4"/>
    <x v="1"/>
    <x v="2"/>
    <x v="2"/>
  </r>
  <r>
    <s v="Call_8124"/>
    <x v="7"/>
    <n v="124"/>
    <x v="4"/>
    <n v="42"/>
    <n v="3.7"/>
    <x v="266"/>
    <n v="2023"/>
    <n v="4"/>
    <n v="10"/>
    <x v="9"/>
    <x v="4"/>
    <x v="1"/>
    <x v="1"/>
    <x v="2"/>
  </r>
  <r>
    <s v="Call_8125"/>
    <x v="3"/>
    <n v="94"/>
    <x v="4"/>
    <n v="120"/>
    <n v="3.5"/>
    <x v="266"/>
    <n v="2023"/>
    <n v="4"/>
    <n v="10"/>
    <x v="9"/>
    <x v="4"/>
    <x v="1"/>
    <x v="0"/>
    <x v="2"/>
  </r>
  <r>
    <s v="Call_8126"/>
    <x v="11"/>
    <n v="126"/>
    <x v="3"/>
    <n v="80"/>
    <n v="4.7"/>
    <x v="267"/>
    <n v="2023"/>
    <n v="4"/>
    <n v="10"/>
    <x v="9"/>
    <x v="5"/>
    <x v="1"/>
    <x v="1"/>
    <x v="0"/>
  </r>
  <r>
    <s v="Call_8127"/>
    <x v="8"/>
    <n v="105"/>
    <x v="2"/>
    <n v="185"/>
    <n v="3.5"/>
    <x v="267"/>
    <n v="2023"/>
    <n v="4"/>
    <n v="10"/>
    <x v="9"/>
    <x v="5"/>
    <x v="1"/>
    <x v="0"/>
    <x v="2"/>
  </r>
  <r>
    <s v="Call_8128"/>
    <x v="4"/>
    <n v="60"/>
    <x v="0"/>
    <n v="135"/>
    <n v="3.9"/>
    <x v="268"/>
    <n v="2023"/>
    <n v="4"/>
    <n v="10"/>
    <x v="9"/>
    <x v="6"/>
    <x v="1"/>
    <x v="2"/>
    <x v="2"/>
  </r>
  <r>
    <s v="Call_8129"/>
    <x v="4"/>
    <n v="72"/>
    <x v="2"/>
    <n v="20"/>
    <n v="4.8"/>
    <x v="268"/>
    <n v="2023"/>
    <n v="4"/>
    <n v="10"/>
    <x v="9"/>
    <x v="6"/>
    <x v="1"/>
    <x v="0"/>
    <x v="0"/>
  </r>
  <r>
    <s v="Call_8130"/>
    <x v="12"/>
    <n v="40"/>
    <x v="2"/>
    <n v="31"/>
    <n v="4"/>
    <x v="268"/>
    <n v="2023"/>
    <n v="4"/>
    <n v="10"/>
    <x v="9"/>
    <x v="6"/>
    <x v="1"/>
    <x v="2"/>
    <x v="2"/>
  </r>
  <r>
    <s v="Call_8131"/>
    <x v="14"/>
    <n v="54"/>
    <x v="3"/>
    <n v="120"/>
    <n v="4.7"/>
    <x v="269"/>
    <n v="2023"/>
    <n v="4"/>
    <n v="10"/>
    <x v="9"/>
    <x v="0"/>
    <x v="1"/>
    <x v="2"/>
    <x v="0"/>
  </r>
  <r>
    <s v="Call_8132"/>
    <x v="1"/>
    <n v="81"/>
    <x v="1"/>
    <n v="117"/>
    <n v="3.6"/>
    <x v="269"/>
    <n v="2023"/>
    <n v="4"/>
    <n v="10"/>
    <x v="9"/>
    <x v="0"/>
    <x v="1"/>
    <x v="0"/>
    <x v="2"/>
  </r>
  <r>
    <s v="Call_8133"/>
    <x v="14"/>
    <n v="76"/>
    <x v="4"/>
    <n v="80"/>
    <n v="4.5"/>
    <x v="269"/>
    <n v="2023"/>
    <n v="4"/>
    <n v="10"/>
    <x v="9"/>
    <x v="0"/>
    <x v="1"/>
    <x v="0"/>
    <x v="2"/>
  </r>
  <r>
    <s v="Call_8134"/>
    <x v="14"/>
    <n v="37"/>
    <x v="0"/>
    <n v="117"/>
    <n v="4"/>
    <x v="270"/>
    <n v="2023"/>
    <n v="4"/>
    <n v="10"/>
    <x v="9"/>
    <x v="1"/>
    <x v="1"/>
    <x v="2"/>
    <x v="2"/>
  </r>
  <r>
    <s v="Call_8135"/>
    <x v="8"/>
    <n v="96"/>
    <x v="3"/>
    <n v="60"/>
    <n v="4.5"/>
    <x v="270"/>
    <n v="2023"/>
    <n v="4"/>
    <n v="10"/>
    <x v="9"/>
    <x v="1"/>
    <x v="1"/>
    <x v="0"/>
    <x v="2"/>
  </r>
  <r>
    <s v="Call_8136"/>
    <x v="4"/>
    <n v="19"/>
    <x v="4"/>
    <n v="58"/>
    <n v="3.9"/>
    <x v="271"/>
    <n v="2023"/>
    <n v="4"/>
    <n v="10"/>
    <x v="9"/>
    <x v="2"/>
    <x v="1"/>
    <x v="3"/>
    <x v="2"/>
  </r>
  <r>
    <s v="Call_8137"/>
    <x v="12"/>
    <n v="72"/>
    <x v="0"/>
    <n v="41"/>
    <n v="4.3"/>
    <x v="271"/>
    <n v="2023"/>
    <n v="4"/>
    <n v="10"/>
    <x v="9"/>
    <x v="2"/>
    <x v="1"/>
    <x v="0"/>
    <x v="2"/>
  </r>
  <r>
    <s v="Call_8138"/>
    <x v="3"/>
    <n v="73"/>
    <x v="1"/>
    <n v="180"/>
    <n v="3.6"/>
    <x v="271"/>
    <n v="2023"/>
    <n v="4"/>
    <n v="10"/>
    <x v="9"/>
    <x v="2"/>
    <x v="1"/>
    <x v="0"/>
    <x v="2"/>
  </r>
  <r>
    <s v="Call_8139"/>
    <x v="13"/>
    <n v="87"/>
    <x v="1"/>
    <n v="42"/>
    <n v="3.6"/>
    <x v="271"/>
    <n v="2023"/>
    <n v="4"/>
    <n v="10"/>
    <x v="9"/>
    <x v="2"/>
    <x v="1"/>
    <x v="0"/>
    <x v="2"/>
  </r>
  <r>
    <s v="Call_8140"/>
    <x v="13"/>
    <n v="68"/>
    <x v="1"/>
    <n v="24"/>
    <n v="4"/>
    <x v="272"/>
    <n v="2023"/>
    <n v="4"/>
    <n v="10"/>
    <x v="9"/>
    <x v="3"/>
    <x v="1"/>
    <x v="0"/>
    <x v="2"/>
  </r>
  <r>
    <s v="Call_8141"/>
    <x v="12"/>
    <n v="101"/>
    <x v="1"/>
    <n v="125"/>
    <n v="4.2"/>
    <x v="272"/>
    <n v="2023"/>
    <n v="4"/>
    <n v="10"/>
    <x v="9"/>
    <x v="3"/>
    <x v="1"/>
    <x v="0"/>
    <x v="2"/>
  </r>
  <r>
    <s v="Call_8142"/>
    <x v="12"/>
    <n v="107"/>
    <x v="0"/>
    <n v="78"/>
    <n v="4.3"/>
    <x v="273"/>
    <n v="2023"/>
    <n v="4"/>
    <n v="10"/>
    <x v="9"/>
    <x v="4"/>
    <x v="1"/>
    <x v="0"/>
    <x v="2"/>
  </r>
  <r>
    <s v="Call_8143"/>
    <x v="9"/>
    <n v="109"/>
    <x v="2"/>
    <n v="180"/>
    <n v="3.8"/>
    <x v="273"/>
    <n v="2023"/>
    <n v="4"/>
    <n v="10"/>
    <x v="9"/>
    <x v="4"/>
    <x v="1"/>
    <x v="0"/>
    <x v="2"/>
  </r>
  <r>
    <s v="Call_8144"/>
    <x v="7"/>
    <n v="171"/>
    <x v="0"/>
    <n v="84"/>
    <n v="4.4000000000000004"/>
    <x v="273"/>
    <n v="2023"/>
    <n v="4"/>
    <n v="10"/>
    <x v="9"/>
    <x v="4"/>
    <x v="1"/>
    <x v="1"/>
    <x v="2"/>
  </r>
  <r>
    <s v="Call_8145"/>
    <x v="4"/>
    <n v="21"/>
    <x v="0"/>
    <n v="26"/>
    <n v="4.7"/>
    <x v="273"/>
    <n v="2023"/>
    <n v="4"/>
    <n v="10"/>
    <x v="9"/>
    <x v="4"/>
    <x v="1"/>
    <x v="3"/>
    <x v="0"/>
  </r>
  <r>
    <s v="Call_8146"/>
    <x v="1"/>
    <n v="94"/>
    <x v="0"/>
    <n v="140"/>
    <n v="3.6"/>
    <x v="274"/>
    <n v="2023"/>
    <n v="4"/>
    <n v="10"/>
    <x v="9"/>
    <x v="5"/>
    <x v="1"/>
    <x v="0"/>
    <x v="2"/>
  </r>
  <r>
    <s v="Call_8147"/>
    <x v="3"/>
    <n v="97"/>
    <x v="2"/>
    <n v="31"/>
    <n v="2.2000000000000002"/>
    <x v="274"/>
    <n v="2023"/>
    <n v="4"/>
    <n v="10"/>
    <x v="9"/>
    <x v="5"/>
    <x v="1"/>
    <x v="0"/>
    <x v="3"/>
  </r>
  <r>
    <s v="Call_8148"/>
    <x v="8"/>
    <n v="72"/>
    <x v="2"/>
    <n v="108"/>
    <n v="4.8"/>
    <x v="274"/>
    <n v="2023"/>
    <n v="4"/>
    <n v="10"/>
    <x v="9"/>
    <x v="5"/>
    <x v="1"/>
    <x v="0"/>
    <x v="0"/>
  </r>
  <r>
    <s v="Call_8149"/>
    <x v="7"/>
    <n v="143"/>
    <x v="3"/>
    <n v="58"/>
    <n v="4.3"/>
    <x v="275"/>
    <n v="2023"/>
    <n v="4"/>
    <n v="10"/>
    <x v="9"/>
    <x v="6"/>
    <x v="1"/>
    <x v="1"/>
    <x v="2"/>
  </r>
  <r>
    <s v="Call_8150"/>
    <x v="7"/>
    <n v="64"/>
    <x v="2"/>
    <n v="185"/>
    <n v="2.2000000000000002"/>
    <x v="275"/>
    <n v="2023"/>
    <n v="4"/>
    <n v="10"/>
    <x v="9"/>
    <x v="6"/>
    <x v="1"/>
    <x v="0"/>
    <x v="3"/>
  </r>
  <r>
    <s v="Call_8151"/>
    <x v="7"/>
    <n v="69"/>
    <x v="2"/>
    <n v="40"/>
    <n v="4.8"/>
    <x v="275"/>
    <n v="2023"/>
    <n v="4"/>
    <n v="10"/>
    <x v="9"/>
    <x v="6"/>
    <x v="1"/>
    <x v="0"/>
    <x v="0"/>
  </r>
  <r>
    <s v="Call_8152"/>
    <x v="7"/>
    <n v="18"/>
    <x v="4"/>
    <n v="225"/>
    <n v="2.6"/>
    <x v="275"/>
    <n v="2023"/>
    <n v="4"/>
    <n v="10"/>
    <x v="9"/>
    <x v="6"/>
    <x v="1"/>
    <x v="3"/>
    <x v="1"/>
  </r>
  <r>
    <s v="Call_8153"/>
    <x v="3"/>
    <n v="100"/>
    <x v="3"/>
    <n v="150"/>
    <n v="2.6"/>
    <x v="275"/>
    <n v="2023"/>
    <n v="4"/>
    <n v="10"/>
    <x v="9"/>
    <x v="6"/>
    <x v="1"/>
    <x v="0"/>
    <x v="1"/>
  </r>
  <r>
    <s v="Call_8154"/>
    <x v="6"/>
    <n v="110"/>
    <x v="1"/>
    <n v="88"/>
    <n v="3.4"/>
    <x v="276"/>
    <n v="2023"/>
    <n v="4"/>
    <n v="10"/>
    <x v="9"/>
    <x v="0"/>
    <x v="1"/>
    <x v="0"/>
    <x v="1"/>
  </r>
  <r>
    <s v="Call_8155"/>
    <x v="10"/>
    <n v="41"/>
    <x v="0"/>
    <n v="140"/>
    <n v="3.7"/>
    <x v="276"/>
    <n v="2023"/>
    <n v="4"/>
    <n v="10"/>
    <x v="9"/>
    <x v="0"/>
    <x v="1"/>
    <x v="2"/>
    <x v="2"/>
  </r>
  <r>
    <s v="Call_8156"/>
    <x v="6"/>
    <n v="147"/>
    <x v="1"/>
    <n v="68"/>
    <n v="2.1"/>
    <x v="276"/>
    <n v="2023"/>
    <n v="4"/>
    <n v="10"/>
    <x v="9"/>
    <x v="0"/>
    <x v="1"/>
    <x v="1"/>
    <x v="3"/>
  </r>
  <r>
    <s v="Call_8157"/>
    <x v="1"/>
    <n v="31"/>
    <x v="4"/>
    <n v="105"/>
    <n v="3.6"/>
    <x v="277"/>
    <n v="2023"/>
    <n v="4"/>
    <n v="10"/>
    <x v="9"/>
    <x v="1"/>
    <x v="1"/>
    <x v="2"/>
    <x v="2"/>
  </r>
  <r>
    <s v="Call_8158"/>
    <x v="13"/>
    <n v="142"/>
    <x v="0"/>
    <n v="40"/>
    <n v="3.8"/>
    <x v="277"/>
    <n v="2023"/>
    <n v="4"/>
    <n v="10"/>
    <x v="9"/>
    <x v="1"/>
    <x v="1"/>
    <x v="1"/>
    <x v="2"/>
  </r>
  <r>
    <s v="Call_8159"/>
    <x v="9"/>
    <n v="61"/>
    <x v="0"/>
    <n v="82"/>
    <n v="3.1"/>
    <x v="277"/>
    <n v="2023"/>
    <n v="4"/>
    <n v="10"/>
    <x v="9"/>
    <x v="1"/>
    <x v="1"/>
    <x v="0"/>
    <x v="1"/>
  </r>
  <r>
    <s v="Call_8160"/>
    <x v="0"/>
    <n v="86"/>
    <x v="4"/>
    <n v="90"/>
    <n v="4.4000000000000004"/>
    <x v="278"/>
    <n v="2023"/>
    <n v="4"/>
    <n v="10"/>
    <x v="9"/>
    <x v="2"/>
    <x v="1"/>
    <x v="0"/>
    <x v="2"/>
  </r>
  <r>
    <s v="Call_8161"/>
    <x v="2"/>
    <n v="165"/>
    <x v="3"/>
    <n v="66"/>
    <n v="4.8"/>
    <x v="279"/>
    <n v="2023"/>
    <n v="4"/>
    <n v="11"/>
    <x v="10"/>
    <x v="3"/>
    <x v="1"/>
    <x v="1"/>
    <x v="0"/>
  </r>
  <r>
    <s v="Call_8162"/>
    <x v="14"/>
    <n v="62"/>
    <x v="1"/>
    <n v="78"/>
    <n v="3.5"/>
    <x v="279"/>
    <n v="2023"/>
    <n v="4"/>
    <n v="11"/>
    <x v="10"/>
    <x v="3"/>
    <x v="1"/>
    <x v="0"/>
    <x v="2"/>
  </r>
  <r>
    <s v="Call_8163"/>
    <x v="3"/>
    <n v="103"/>
    <x v="3"/>
    <n v="66"/>
    <n v="4.4000000000000004"/>
    <x v="280"/>
    <n v="2023"/>
    <n v="4"/>
    <n v="11"/>
    <x v="10"/>
    <x v="4"/>
    <x v="1"/>
    <x v="0"/>
    <x v="2"/>
  </r>
  <r>
    <s v="Call_8164"/>
    <x v="13"/>
    <n v="56"/>
    <x v="4"/>
    <n v="160"/>
    <n v="3.8"/>
    <x v="281"/>
    <n v="2023"/>
    <n v="4"/>
    <n v="11"/>
    <x v="10"/>
    <x v="5"/>
    <x v="1"/>
    <x v="2"/>
    <x v="2"/>
  </r>
  <r>
    <s v="Call_8165"/>
    <x v="12"/>
    <n v="114"/>
    <x v="0"/>
    <n v="144"/>
    <n v="3.8"/>
    <x v="282"/>
    <n v="2023"/>
    <n v="4"/>
    <n v="11"/>
    <x v="10"/>
    <x v="6"/>
    <x v="1"/>
    <x v="0"/>
    <x v="2"/>
  </r>
  <r>
    <s v="Call_8166"/>
    <x v="13"/>
    <n v="112"/>
    <x v="2"/>
    <n v="200"/>
    <n v="4.5999999999999996"/>
    <x v="282"/>
    <n v="2023"/>
    <n v="4"/>
    <n v="11"/>
    <x v="10"/>
    <x v="6"/>
    <x v="1"/>
    <x v="0"/>
    <x v="0"/>
  </r>
  <r>
    <s v="Call_8167"/>
    <x v="5"/>
    <n v="52"/>
    <x v="1"/>
    <n v="220"/>
    <n v="5"/>
    <x v="283"/>
    <n v="2023"/>
    <n v="4"/>
    <n v="11"/>
    <x v="10"/>
    <x v="1"/>
    <x v="1"/>
    <x v="2"/>
    <x v="0"/>
  </r>
  <r>
    <s v="Call_8168"/>
    <x v="3"/>
    <n v="105"/>
    <x v="3"/>
    <n v="112"/>
    <n v="3.2"/>
    <x v="284"/>
    <n v="2023"/>
    <n v="4"/>
    <n v="11"/>
    <x v="10"/>
    <x v="2"/>
    <x v="1"/>
    <x v="0"/>
    <x v="1"/>
  </r>
  <r>
    <s v="Call_8169"/>
    <x v="2"/>
    <n v="91"/>
    <x v="4"/>
    <n v="110"/>
    <n v="3.7"/>
    <x v="284"/>
    <n v="2023"/>
    <n v="4"/>
    <n v="11"/>
    <x v="10"/>
    <x v="2"/>
    <x v="1"/>
    <x v="0"/>
    <x v="2"/>
  </r>
  <r>
    <s v="Call_8170"/>
    <x v="11"/>
    <n v="74"/>
    <x v="0"/>
    <n v="160"/>
    <n v="2.7"/>
    <x v="285"/>
    <n v="2023"/>
    <n v="4"/>
    <n v="11"/>
    <x v="10"/>
    <x v="3"/>
    <x v="1"/>
    <x v="0"/>
    <x v="1"/>
  </r>
  <r>
    <s v="Call_8171"/>
    <x v="11"/>
    <n v="30"/>
    <x v="4"/>
    <n v="84"/>
    <n v="4"/>
    <x v="285"/>
    <n v="2023"/>
    <n v="4"/>
    <n v="11"/>
    <x v="10"/>
    <x v="3"/>
    <x v="1"/>
    <x v="3"/>
    <x v="2"/>
  </r>
  <r>
    <s v="Call_8172"/>
    <x v="2"/>
    <n v="56"/>
    <x v="1"/>
    <n v="124"/>
    <n v="2.6"/>
    <x v="285"/>
    <n v="2023"/>
    <n v="4"/>
    <n v="11"/>
    <x v="10"/>
    <x v="3"/>
    <x v="1"/>
    <x v="2"/>
    <x v="1"/>
  </r>
  <r>
    <s v="Call_8173"/>
    <x v="11"/>
    <n v="151"/>
    <x v="2"/>
    <n v="84"/>
    <n v="4.5999999999999996"/>
    <x v="285"/>
    <n v="2023"/>
    <n v="4"/>
    <n v="11"/>
    <x v="10"/>
    <x v="3"/>
    <x v="1"/>
    <x v="1"/>
    <x v="0"/>
  </r>
  <r>
    <s v="Call_8174"/>
    <x v="1"/>
    <n v="108"/>
    <x v="3"/>
    <n v="130"/>
    <n v="2.7"/>
    <x v="286"/>
    <n v="2023"/>
    <n v="4"/>
    <n v="11"/>
    <x v="10"/>
    <x v="4"/>
    <x v="1"/>
    <x v="0"/>
    <x v="1"/>
  </r>
  <r>
    <s v="Call_8175"/>
    <x v="12"/>
    <n v="124"/>
    <x v="0"/>
    <n v="215"/>
    <n v="3.5"/>
    <x v="286"/>
    <n v="2023"/>
    <n v="4"/>
    <n v="11"/>
    <x v="10"/>
    <x v="4"/>
    <x v="1"/>
    <x v="1"/>
    <x v="2"/>
  </r>
  <r>
    <s v="Call_8176"/>
    <x v="3"/>
    <n v="110"/>
    <x v="1"/>
    <n v="132"/>
    <n v="3.6"/>
    <x v="287"/>
    <n v="2023"/>
    <n v="4"/>
    <n v="11"/>
    <x v="10"/>
    <x v="5"/>
    <x v="1"/>
    <x v="0"/>
    <x v="2"/>
  </r>
  <r>
    <s v="Call_8177"/>
    <x v="6"/>
    <n v="89"/>
    <x v="3"/>
    <n v="88"/>
    <n v="4.9000000000000004"/>
    <x v="287"/>
    <n v="2023"/>
    <n v="4"/>
    <n v="11"/>
    <x v="10"/>
    <x v="5"/>
    <x v="1"/>
    <x v="0"/>
    <x v="0"/>
  </r>
  <r>
    <s v="Call_8178"/>
    <x v="0"/>
    <n v="95"/>
    <x v="1"/>
    <n v="140"/>
    <n v="3.9"/>
    <x v="287"/>
    <n v="2023"/>
    <n v="4"/>
    <n v="11"/>
    <x v="10"/>
    <x v="5"/>
    <x v="1"/>
    <x v="0"/>
    <x v="2"/>
  </r>
  <r>
    <s v="Call_8179"/>
    <x v="11"/>
    <n v="84"/>
    <x v="3"/>
    <n v="66"/>
    <n v="4.7"/>
    <x v="288"/>
    <n v="2023"/>
    <n v="4"/>
    <n v="11"/>
    <x v="10"/>
    <x v="6"/>
    <x v="1"/>
    <x v="0"/>
    <x v="0"/>
  </r>
  <r>
    <s v="Call_8180"/>
    <x v="8"/>
    <n v="89"/>
    <x v="0"/>
    <n v="23"/>
    <n v="4.5"/>
    <x v="288"/>
    <n v="2023"/>
    <n v="4"/>
    <n v="11"/>
    <x v="10"/>
    <x v="6"/>
    <x v="1"/>
    <x v="0"/>
    <x v="2"/>
  </r>
  <r>
    <s v="Call_8181"/>
    <x v="6"/>
    <n v="146"/>
    <x v="0"/>
    <n v="220"/>
    <n v="4.5"/>
    <x v="289"/>
    <n v="2023"/>
    <n v="4"/>
    <n v="11"/>
    <x v="10"/>
    <x v="0"/>
    <x v="1"/>
    <x v="1"/>
    <x v="2"/>
  </r>
  <r>
    <s v="Call_8182"/>
    <x v="7"/>
    <n v="62"/>
    <x v="4"/>
    <n v="175"/>
    <n v="4.4000000000000004"/>
    <x v="290"/>
    <n v="2023"/>
    <n v="4"/>
    <n v="11"/>
    <x v="10"/>
    <x v="1"/>
    <x v="1"/>
    <x v="0"/>
    <x v="2"/>
  </r>
  <r>
    <s v="Call_8183"/>
    <x v="13"/>
    <n v="82"/>
    <x v="0"/>
    <n v="172"/>
    <n v="4.0999999999999996"/>
    <x v="290"/>
    <n v="2023"/>
    <n v="4"/>
    <n v="11"/>
    <x v="10"/>
    <x v="1"/>
    <x v="1"/>
    <x v="0"/>
    <x v="2"/>
  </r>
  <r>
    <s v="Call_8184"/>
    <x v="9"/>
    <n v="91"/>
    <x v="2"/>
    <n v="108"/>
    <n v="3.8"/>
    <x v="290"/>
    <n v="2023"/>
    <n v="4"/>
    <n v="11"/>
    <x v="10"/>
    <x v="1"/>
    <x v="1"/>
    <x v="0"/>
    <x v="2"/>
  </r>
  <r>
    <s v="Call_8185"/>
    <x v="8"/>
    <n v="39"/>
    <x v="0"/>
    <n v="43"/>
    <n v="4.2"/>
    <x v="291"/>
    <n v="2023"/>
    <n v="4"/>
    <n v="11"/>
    <x v="10"/>
    <x v="2"/>
    <x v="1"/>
    <x v="2"/>
    <x v="2"/>
  </r>
  <r>
    <s v="Call_8186"/>
    <x v="6"/>
    <n v="149"/>
    <x v="1"/>
    <n v="44"/>
    <n v="2.2000000000000002"/>
    <x v="291"/>
    <n v="2023"/>
    <n v="4"/>
    <n v="11"/>
    <x v="10"/>
    <x v="2"/>
    <x v="1"/>
    <x v="1"/>
    <x v="3"/>
  </r>
  <r>
    <s v="Call_8187"/>
    <x v="13"/>
    <n v="138"/>
    <x v="4"/>
    <n v="105"/>
    <n v="3.9"/>
    <x v="291"/>
    <n v="2023"/>
    <n v="4"/>
    <n v="11"/>
    <x v="10"/>
    <x v="2"/>
    <x v="1"/>
    <x v="1"/>
    <x v="2"/>
  </r>
  <r>
    <s v="Call_8188"/>
    <x v="7"/>
    <n v="113"/>
    <x v="1"/>
    <n v="34"/>
    <n v="3.9"/>
    <x v="292"/>
    <n v="2023"/>
    <n v="4"/>
    <n v="11"/>
    <x v="10"/>
    <x v="3"/>
    <x v="1"/>
    <x v="0"/>
    <x v="2"/>
  </r>
  <r>
    <s v="Call_8189"/>
    <x v="4"/>
    <n v="88"/>
    <x v="0"/>
    <n v="220"/>
    <n v="4.0999999999999996"/>
    <x v="292"/>
    <n v="2023"/>
    <n v="4"/>
    <n v="11"/>
    <x v="10"/>
    <x v="3"/>
    <x v="1"/>
    <x v="0"/>
    <x v="2"/>
  </r>
  <r>
    <s v="Call_8190"/>
    <x v="0"/>
    <n v="64"/>
    <x v="4"/>
    <n v="225"/>
    <n v="4.5999999999999996"/>
    <x v="292"/>
    <n v="2023"/>
    <n v="4"/>
    <n v="11"/>
    <x v="10"/>
    <x v="3"/>
    <x v="1"/>
    <x v="0"/>
    <x v="0"/>
  </r>
  <r>
    <s v="Call_8191"/>
    <x v="2"/>
    <n v="53"/>
    <x v="4"/>
    <n v="37"/>
    <n v="4.0999999999999996"/>
    <x v="293"/>
    <n v="2023"/>
    <n v="4"/>
    <n v="11"/>
    <x v="10"/>
    <x v="4"/>
    <x v="1"/>
    <x v="2"/>
    <x v="2"/>
  </r>
  <r>
    <s v="Call_8192"/>
    <x v="12"/>
    <n v="63"/>
    <x v="1"/>
    <n v="44"/>
    <n v="5"/>
    <x v="293"/>
    <n v="2023"/>
    <n v="4"/>
    <n v="11"/>
    <x v="10"/>
    <x v="4"/>
    <x v="1"/>
    <x v="0"/>
    <x v="0"/>
  </r>
  <r>
    <s v="Call_8193"/>
    <x v="5"/>
    <n v="54"/>
    <x v="1"/>
    <n v="35"/>
    <n v="2.8"/>
    <x v="294"/>
    <n v="2023"/>
    <n v="4"/>
    <n v="11"/>
    <x v="10"/>
    <x v="5"/>
    <x v="1"/>
    <x v="2"/>
    <x v="1"/>
  </r>
  <r>
    <s v="Call_8194"/>
    <x v="12"/>
    <n v="54"/>
    <x v="0"/>
    <n v="145"/>
    <n v="2.7"/>
    <x v="294"/>
    <n v="2023"/>
    <n v="4"/>
    <n v="11"/>
    <x v="10"/>
    <x v="5"/>
    <x v="1"/>
    <x v="2"/>
    <x v="1"/>
  </r>
  <r>
    <s v="Call_8195"/>
    <x v="6"/>
    <n v="71"/>
    <x v="4"/>
    <n v="64"/>
    <n v="3.9"/>
    <x v="294"/>
    <n v="2023"/>
    <n v="4"/>
    <n v="11"/>
    <x v="10"/>
    <x v="5"/>
    <x v="1"/>
    <x v="0"/>
    <x v="2"/>
  </r>
  <r>
    <s v="Call_8196"/>
    <x v="12"/>
    <n v="93"/>
    <x v="0"/>
    <n v="185"/>
    <n v="4.3"/>
    <x v="295"/>
    <n v="2023"/>
    <n v="4"/>
    <n v="11"/>
    <x v="10"/>
    <x v="6"/>
    <x v="1"/>
    <x v="0"/>
    <x v="2"/>
  </r>
  <r>
    <s v="Call_8197"/>
    <x v="3"/>
    <n v="96"/>
    <x v="1"/>
    <n v="215"/>
    <n v="2.5"/>
    <x v="295"/>
    <n v="2023"/>
    <n v="4"/>
    <n v="11"/>
    <x v="10"/>
    <x v="6"/>
    <x v="1"/>
    <x v="0"/>
    <x v="3"/>
  </r>
  <r>
    <s v="Call_8198"/>
    <x v="8"/>
    <n v="31"/>
    <x v="2"/>
    <n v="88"/>
    <n v="3.4"/>
    <x v="295"/>
    <n v="2023"/>
    <n v="4"/>
    <n v="11"/>
    <x v="10"/>
    <x v="6"/>
    <x v="1"/>
    <x v="2"/>
    <x v="1"/>
  </r>
  <r>
    <s v="Call_8199"/>
    <x v="12"/>
    <n v="107"/>
    <x v="4"/>
    <n v="23"/>
    <n v="3.4"/>
    <x v="295"/>
    <n v="2023"/>
    <n v="4"/>
    <n v="11"/>
    <x v="10"/>
    <x v="6"/>
    <x v="1"/>
    <x v="0"/>
    <x v="1"/>
  </r>
  <r>
    <s v="Call_8200"/>
    <x v="2"/>
    <n v="50"/>
    <x v="2"/>
    <n v="180"/>
    <n v="1.8"/>
    <x v="296"/>
    <n v="2023"/>
    <n v="4"/>
    <n v="11"/>
    <x v="10"/>
    <x v="0"/>
    <x v="1"/>
    <x v="2"/>
    <x v="3"/>
  </r>
  <r>
    <s v="Call_8201"/>
    <x v="13"/>
    <n v="69"/>
    <x v="4"/>
    <n v="225"/>
    <n v="3.7"/>
    <x v="297"/>
    <n v="2023"/>
    <n v="4"/>
    <n v="11"/>
    <x v="10"/>
    <x v="1"/>
    <x v="1"/>
    <x v="0"/>
    <x v="2"/>
  </r>
  <r>
    <s v="Call_8202"/>
    <x v="4"/>
    <n v="26"/>
    <x v="1"/>
    <n v="74"/>
    <n v="4.0999999999999996"/>
    <x v="298"/>
    <n v="2023"/>
    <n v="4"/>
    <n v="11"/>
    <x v="10"/>
    <x v="2"/>
    <x v="1"/>
    <x v="3"/>
    <x v="2"/>
  </r>
  <r>
    <s v="Call_8203"/>
    <x v="3"/>
    <n v="158"/>
    <x v="4"/>
    <n v="36"/>
    <n v="3"/>
    <x v="298"/>
    <n v="2023"/>
    <n v="4"/>
    <n v="11"/>
    <x v="10"/>
    <x v="2"/>
    <x v="1"/>
    <x v="1"/>
    <x v="1"/>
  </r>
  <r>
    <s v="Call_8204"/>
    <x v="5"/>
    <n v="99"/>
    <x v="4"/>
    <n v="116"/>
    <n v="3.9"/>
    <x v="299"/>
    <n v="2023"/>
    <n v="4"/>
    <n v="11"/>
    <x v="10"/>
    <x v="4"/>
    <x v="1"/>
    <x v="0"/>
    <x v="2"/>
  </r>
  <r>
    <s v="Call_8205"/>
    <x v="3"/>
    <n v="78"/>
    <x v="2"/>
    <n v="140"/>
    <n v="4"/>
    <x v="299"/>
    <n v="2023"/>
    <n v="4"/>
    <n v="11"/>
    <x v="10"/>
    <x v="4"/>
    <x v="1"/>
    <x v="0"/>
    <x v="2"/>
  </r>
  <r>
    <s v="Call_8206"/>
    <x v="3"/>
    <n v="102"/>
    <x v="1"/>
    <n v="104"/>
    <n v="4.5"/>
    <x v="300"/>
    <n v="2023"/>
    <n v="4"/>
    <n v="11"/>
    <x v="10"/>
    <x v="5"/>
    <x v="1"/>
    <x v="0"/>
    <x v="2"/>
  </r>
  <r>
    <s v="Call_8207"/>
    <x v="5"/>
    <n v="158"/>
    <x v="3"/>
    <n v="148"/>
    <n v="4"/>
    <x v="300"/>
    <n v="2023"/>
    <n v="4"/>
    <n v="11"/>
    <x v="10"/>
    <x v="5"/>
    <x v="1"/>
    <x v="1"/>
    <x v="2"/>
  </r>
  <r>
    <s v="Call_8208"/>
    <x v="8"/>
    <n v="56"/>
    <x v="4"/>
    <n v="205"/>
    <n v="4.3"/>
    <x v="300"/>
    <n v="2023"/>
    <n v="4"/>
    <n v="11"/>
    <x v="10"/>
    <x v="5"/>
    <x v="1"/>
    <x v="2"/>
    <x v="2"/>
  </r>
  <r>
    <s v="Call_8209"/>
    <x v="1"/>
    <n v="17"/>
    <x v="0"/>
    <n v="210"/>
    <n v="4.8"/>
    <x v="300"/>
    <n v="2023"/>
    <n v="4"/>
    <n v="11"/>
    <x v="10"/>
    <x v="5"/>
    <x v="1"/>
    <x v="3"/>
    <x v="0"/>
  </r>
  <r>
    <s v="Call_8210"/>
    <x v="4"/>
    <n v="104"/>
    <x v="3"/>
    <n v="41"/>
    <n v="4.7"/>
    <x v="301"/>
    <n v="2023"/>
    <n v="4"/>
    <n v="11"/>
    <x v="10"/>
    <x v="0"/>
    <x v="1"/>
    <x v="0"/>
    <x v="0"/>
  </r>
  <r>
    <s v="Call_8211"/>
    <x v="11"/>
    <n v="96"/>
    <x v="2"/>
    <n v="136"/>
    <n v="5"/>
    <x v="301"/>
    <n v="2023"/>
    <n v="4"/>
    <n v="11"/>
    <x v="10"/>
    <x v="0"/>
    <x v="1"/>
    <x v="0"/>
    <x v="0"/>
  </r>
  <r>
    <s v="Call_8212"/>
    <x v="9"/>
    <n v="83"/>
    <x v="1"/>
    <n v="126"/>
    <n v="1.5"/>
    <x v="302"/>
    <n v="2023"/>
    <n v="4"/>
    <n v="11"/>
    <x v="10"/>
    <x v="1"/>
    <x v="1"/>
    <x v="0"/>
    <x v="3"/>
  </r>
  <r>
    <s v="Call_8213"/>
    <x v="2"/>
    <n v="80"/>
    <x v="0"/>
    <n v="148"/>
    <n v="4.0999999999999996"/>
    <x v="303"/>
    <n v="2023"/>
    <n v="4"/>
    <n v="11"/>
    <x v="10"/>
    <x v="2"/>
    <x v="1"/>
    <x v="0"/>
    <x v="2"/>
  </r>
  <r>
    <s v="Call_8214"/>
    <x v="9"/>
    <n v="152"/>
    <x v="1"/>
    <n v="125"/>
    <n v="3.9"/>
    <x v="303"/>
    <n v="2023"/>
    <n v="4"/>
    <n v="11"/>
    <x v="10"/>
    <x v="2"/>
    <x v="1"/>
    <x v="1"/>
    <x v="2"/>
  </r>
  <r>
    <s v="Call_8215"/>
    <x v="6"/>
    <n v="34"/>
    <x v="2"/>
    <n v="25"/>
    <n v="4.0999999999999996"/>
    <x v="303"/>
    <n v="2023"/>
    <n v="4"/>
    <n v="11"/>
    <x v="10"/>
    <x v="2"/>
    <x v="1"/>
    <x v="2"/>
    <x v="2"/>
  </r>
  <r>
    <s v="Call_8216"/>
    <x v="7"/>
    <n v="2"/>
    <x v="4"/>
    <n v="62"/>
    <n v="2.8"/>
    <x v="304"/>
    <n v="2023"/>
    <n v="4"/>
    <n v="11"/>
    <x v="10"/>
    <x v="3"/>
    <x v="1"/>
    <x v="4"/>
    <x v="1"/>
  </r>
  <r>
    <s v="Call_8217"/>
    <x v="2"/>
    <n v="140"/>
    <x v="2"/>
    <n v="90"/>
    <n v="4.5999999999999996"/>
    <x v="305"/>
    <n v="2023"/>
    <n v="4"/>
    <n v="11"/>
    <x v="10"/>
    <x v="4"/>
    <x v="1"/>
    <x v="1"/>
    <x v="0"/>
  </r>
  <r>
    <s v="Call_8218"/>
    <x v="1"/>
    <n v="126"/>
    <x v="3"/>
    <n v="33"/>
    <n v="4.8"/>
    <x v="306"/>
    <n v="2023"/>
    <n v="4"/>
    <n v="12"/>
    <x v="11"/>
    <x v="5"/>
    <x v="1"/>
    <x v="1"/>
    <x v="0"/>
  </r>
  <r>
    <s v="Call_8219"/>
    <x v="3"/>
    <n v="79"/>
    <x v="4"/>
    <n v="115"/>
    <n v="2.2999999999999998"/>
    <x v="306"/>
    <n v="2023"/>
    <n v="4"/>
    <n v="12"/>
    <x v="11"/>
    <x v="5"/>
    <x v="1"/>
    <x v="0"/>
    <x v="3"/>
  </r>
  <r>
    <s v="Call_8220"/>
    <x v="1"/>
    <n v="133"/>
    <x v="3"/>
    <n v="45"/>
    <n v="2.6"/>
    <x v="306"/>
    <n v="2023"/>
    <n v="4"/>
    <n v="12"/>
    <x v="11"/>
    <x v="5"/>
    <x v="1"/>
    <x v="1"/>
    <x v="1"/>
  </r>
  <r>
    <s v="Call_8221"/>
    <x v="6"/>
    <n v="97"/>
    <x v="0"/>
    <n v="114"/>
    <n v="4.8"/>
    <x v="306"/>
    <n v="2023"/>
    <n v="4"/>
    <n v="12"/>
    <x v="11"/>
    <x v="5"/>
    <x v="1"/>
    <x v="0"/>
    <x v="0"/>
  </r>
  <r>
    <s v="Call_8222"/>
    <x v="3"/>
    <n v="102"/>
    <x v="1"/>
    <n v="72"/>
    <n v="3.7"/>
    <x v="307"/>
    <n v="2023"/>
    <n v="4"/>
    <n v="12"/>
    <x v="11"/>
    <x v="6"/>
    <x v="1"/>
    <x v="0"/>
    <x v="2"/>
  </r>
  <r>
    <s v="Call_8223"/>
    <x v="10"/>
    <n v="62"/>
    <x v="0"/>
    <n v="205"/>
    <n v="4.2"/>
    <x v="307"/>
    <n v="2023"/>
    <n v="4"/>
    <n v="12"/>
    <x v="11"/>
    <x v="6"/>
    <x v="1"/>
    <x v="0"/>
    <x v="2"/>
  </r>
  <r>
    <s v="Call_8224"/>
    <x v="1"/>
    <n v="149"/>
    <x v="1"/>
    <n v="42"/>
    <n v="3.3"/>
    <x v="308"/>
    <n v="2023"/>
    <n v="4"/>
    <n v="12"/>
    <x v="11"/>
    <x v="0"/>
    <x v="1"/>
    <x v="1"/>
    <x v="1"/>
  </r>
  <r>
    <s v="Call_8225"/>
    <x v="7"/>
    <n v="133"/>
    <x v="0"/>
    <n v="96"/>
    <n v="4.3"/>
    <x v="308"/>
    <n v="2023"/>
    <n v="4"/>
    <n v="12"/>
    <x v="11"/>
    <x v="0"/>
    <x v="1"/>
    <x v="1"/>
    <x v="2"/>
  </r>
  <r>
    <s v="Call_8226"/>
    <x v="3"/>
    <n v="51"/>
    <x v="4"/>
    <n v="64"/>
    <n v="3.7"/>
    <x v="308"/>
    <n v="2023"/>
    <n v="4"/>
    <n v="12"/>
    <x v="11"/>
    <x v="0"/>
    <x v="1"/>
    <x v="2"/>
    <x v="2"/>
  </r>
  <r>
    <s v="Call_8227"/>
    <x v="10"/>
    <n v="110"/>
    <x v="0"/>
    <n v="72"/>
    <n v="3.7"/>
    <x v="309"/>
    <n v="2023"/>
    <n v="4"/>
    <n v="12"/>
    <x v="11"/>
    <x v="1"/>
    <x v="1"/>
    <x v="0"/>
    <x v="2"/>
  </r>
  <r>
    <s v="Call_8228"/>
    <x v="6"/>
    <n v="38"/>
    <x v="3"/>
    <n v="27"/>
    <n v="3.1"/>
    <x v="310"/>
    <n v="2023"/>
    <n v="4"/>
    <n v="12"/>
    <x v="11"/>
    <x v="2"/>
    <x v="1"/>
    <x v="2"/>
    <x v="1"/>
  </r>
  <r>
    <s v="Call_8229"/>
    <x v="7"/>
    <n v="78"/>
    <x v="3"/>
    <n v="200"/>
    <n v="2.4"/>
    <x v="311"/>
    <n v="2023"/>
    <n v="4"/>
    <n v="12"/>
    <x v="11"/>
    <x v="4"/>
    <x v="1"/>
    <x v="0"/>
    <x v="3"/>
  </r>
  <r>
    <s v="Call_8230"/>
    <x v="6"/>
    <n v="25"/>
    <x v="1"/>
    <n v="93"/>
    <n v="3.5"/>
    <x v="312"/>
    <n v="2023"/>
    <n v="4"/>
    <n v="12"/>
    <x v="11"/>
    <x v="5"/>
    <x v="1"/>
    <x v="3"/>
    <x v="2"/>
  </r>
  <r>
    <s v="Call_8231"/>
    <x v="12"/>
    <n v="50"/>
    <x v="4"/>
    <n v="54"/>
    <n v="4.3"/>
    <x v="312"/>
    <n v="2023"/>
    <n v="4"/>
    <n v="12"/>
    <x v="11"/>
    <x v="5"/>
    <x v="1"/>
    <x v="2"/>
    <x v="2"/>
  </r>
  <r>
    <s v="Call_8232"/>
    <x v="6"/>
    <n v="103"/>
    <x v="1"/>
    <n v="72"/>
    <n v="3.4"/>
    <x v="313"/>
    <n v="2023"/>
    <n v="4"/>
    <n v="12"/>
    <x v="11"/>
    <x v="6"/>
    <x v="1"/>
    <x v="0"/>
    <x v="1"/>
  </r>
  <r>
    <s v="Call_8233"/>
    <x v="9"/>
    <n v="63"/>
    <x v="2"/>
    <n v="82"/>
    <n v="3.7"/>
    <x v="313"/>
    <n v="2023"/>
    <n v="4"/>
    <n v="12"/>
    <x v="11"/>
    <x v="6"/>
    <x v="1"/>
    <x v="0"/>
    <x v="2"/>
  </r>
  <r>
    <s v="Call_8234"/>
    <x v="12"/>
    <n v="96"/>
    <x v="4"/>
    <n v="164"/>
    <n v="4.8"/>
    <x v="314"/>
    <n v="2023"/>
    <n v="4"/>
    <n v="12"/>
    <x v="11"/>
    <x v="3"/>
    <x v="1"/>
    <x v="0"/>
    <x v="0"/>
  </r>
  <r>
    <s v="Call_8235"/>
    <x v="2"/>
    <n v="94"/>
    <x v="1"/>
    <n v="78"/>
    <n v="3.3"/>
    <x v="314"/>
    <n v="2023"/>
    <n v="4"/>
    <n v="12"/>
    <x v="11"/>
    <x v="3"/>
    <x v="1"/>
    <x v="0"/>
    <x v="1"/>
  </r>
  <r>
    <s v="Call_8236"/>
    <x v="10"/>
    <n v="46"/>
    <x v="3"/>
    <n v="135"/>
    <n v="4.2"/>
    <x v="315"/>
    <n v="2023"/>
    <n v="4"/>
    <n v="12"/>
    <x v="11"/>
    <x v="4"/>
    <x v="1"/>
    <x v="2"/>
    <x v="2"/>
  </r>
  <r>
    <s v="Call_8237"/>
    <x v="14"/>
    <n v="127"/>
    <x v="4"/>
    <n v="145"/>
    <n v="2.6"/>
    <x v="316"/>
    <n v="2023"/>
    <n v="4"/>
    <n v="12"/>
    <x v="11"/>
    <x v="5"/>
    <x v="1"/>
    <x v="1"/>
    <x v="1"/>
  </r>
  <r>
    <s v="Call_8238"/>
    <x v="5"/>
    <n v="96"/>
    <x v="3"/>
    <n v="115"/>
    <n v="4.9000000000000004"/>
    <x v="316"/>
    <n v="2023"/>
    <n v="4"/>
    <n v="12"/>
    <x v="11"/>
    <x v="5"/>
    <x v="1"/>
    <x v="0"/>
    <x v="0"/>
  </r>
  <r>
    <s v="Call_8239"/>
    <x v="13"/>
    <n v="151"/>
    <x v="1"/>
    <n v="117"/>
    <n v="2"/>
    <x v="316"/>
    <n v="2023"/>
    <n v="4"/>
    <n v="12"/>
    <x v="11"/>
    <x v="5"/>
    <x v="1"/>
    <x v="1"/>
    <x v="3"/>
  </r>
  <r>
    <s v="Call_8240"/>
    <x v="14"/>
    <n v="158"/>
    <x v="0"/>
    <n v="36"/>
    <n v="4.7"/>
    <x v="317"/>
    <n v="2023"/>
    <n v="4"/>
    <n v="12"/>
    <x v="11"/>
    <x v="6"/>
    <x v="1"/>
    <x v="1"/>
    <x v="0"/>
  </r>
  <r>
    <s v="Call_8241"/>
    <x v="2"/>
    <n v="45"/>
    <x v="0"/>
    <n v="84"/>
    <n v="2.8"/>
    <x v="317"/>
    <n v="2023"/>
    <n v="4"/>
    <n v="12"/>
    <x v="11"/>
    <x v="6"/>
    <x v="1"/>
    <x v="2"/>
    <x v="1"/>
  </r>
  <r>
    <s v="Call_8242"/>
    <x v="8"/>
    <n v="141"/>
    <x v="0"/>
    <n v="66"/>
    <n v="3.2"/>
    <x v="317"/>
    <n v="2023"/>
    <n v="4"/>
    <n v="12"/>
    <x v="11"/>
    <x v="6"/>
    <x v="1"/>
    <x v="1"/>
    <x v="1"/>
  </r>
  <r>
    <s v="Call_8243"/>
    <x v="6"/>
    <n v="147"/>
    <x v="3"/>
    <n v="76"/>
    <n v="4.7"/>
    <x v="317"/>
    <n v="2023"/>
    <n v="4"/>
    <n v="12"/>
    <x v="11"/>
    <x v="6"/>
    <x v="1"/>
    <x v="1"/>
    <x v="0"/>
  </r>
  <r>
    <s v="Call_8244"/>
    <x v="11"/>
    <n v="126"/>
    <x v="3"/>
    <n v="185"/>
    <n v="4.8"/>
    <x v="317"/>
    <n v="2023"/>
    <n v="4"/>
    <n v="12"/>
    <x v="11"/>
    <x v="6"/>
    <x v="1"/>
    <x v="1"/>
    <x v="0"/>
  </r>
  <r>
    <s v="Call_8245"/>
    <x v="2"/>
    <n v="126"/>
    <x v="2"/>
    <n v="80"/>
    <n v="4.7"/>
    <x v="318"/>
    <n v="2023"/>
    <n v="4"/>
    <n v="12"/>
    <x v="11"/>
    <x v="0"/>
    <x v="1"/>
    <x v="1"/>
    <x v="0"/>
  </r>
  <r>
    <s v="Call_8246"/>
    <x v="7"/>
    <n v="32"/>
    <x v="3"/>
    <n v="148"/>
    <n v="4"/>
    <x v="318"/>
    <n v="2023"/>
    <n v="4"/>
    <n v="12"/>
    <x v="11"/>
    <x v="0"/>
    <x v="1"/>
    <x v="2"/>
    <x v="2"/>
  </r>
  <r>
    <s v="Call_8247"/>
    <x v="2"/>
    <n v="84"/>
    <x v="4"/>
    <n v="180"/>
    <n v="4.9000000000000004"/>
    <x v="319"/>
    <n v="2023"/>
    <n v="4"/>
    <n v="12"/>
    <x v="11"/>
    <x v="2"/>
    <x v="1"/>
    <x v="0"/>
    <x v="0"/>
  </r>
  <r>
    <s v="Call_8248"/>
    <x v="9"/>
    <n v="120"/>
    <x v="2"/>
    <n v="190"/>
    <n v="3.7"/>
    <x v="320"/>
    <n v="2023"/>
    <n v="4"/>
    <n v="12"/>
    <x v="11"/>
    <x v="3"/>
    <x v="1"/>
    <x v="0"/>
    <x v="2"/>
  </r>
  <r>
    <s v="Call_8249"/>
    <x v="4"/>
    <n v="93"/>
    <x v="3"/>
    <n v="38"/>
    <n v="4.5"/>
    <x v="320"/>
    <n v="2023"/>
    <n v="4"/>
    <n v="12"/>
    <x v="11"/>
    <x v="3"/>
    <x v="1"/>
    <x v="0"/>
    <x v="2"/>
  </r>
  <r>
    <s v="Call_8250"/>
    <x v="5"/>
    <n v="76"/>
    <x v="1"/>
    <n v="82"/>
    <n v="2.1"/>
    <x v="321"/>
    <n v="2023"/>
    <n v="4"/>
    <n v="12"/>
    <x v="11"/>
    <x v="4"/>
    <x v="1"/>
    <x v="0"/>
    <x v="3"/>
  </r>
  <r>
    <s v="Call_8251"/>
    <x v="14"/>
    <n v="89"/>
    <x v="3"/>
    <n v="88"/>
    <n v="2.8"/>
    <x v="322"/>
    <n v="2023"/>
    <n v="4"/>
    <n v="12"/>
    <x v="11"/>
    <x v="0"/>
    <x v="1"/>
    <x v="0"/>
    <x v="1"/>
  </r>
  <r>
    <s v="Call_8252"/>
    <x v="3"/>
    <n v="91"/>
    <x v="4"/>
    <n v="42"/>
    <n v="4.0999999999999996"/>
    <x v="322"/>
    <n v="2023"/>
    <n v="4"/>
    <n v="12"/>
    <x v="11"/>
    <x v="0"/>
    <x v="1"/>
    <x v="0"/>
    <x v="2"/>
  </r>
  <r>
    <s v="Call_8253"/>
    <x v="10"/>
    <n v="7"/>
    <x v="0"/>
    <n v="64"/>
    <n v="3.3"/>
    <x v="323"/>
    <n v="2023"/>
    <n v="4"/>
    <n v="12"/>
    <x v="11"/>
    <x v="1"/>
    <x v="1"/>
    <x v="4"/>
    <x v="1"/>
  </r>
  <r>
    <s v="Call_8254"/>
    <x v="7"/>
    <n v="140"/>
    <x v="0"/>
    <n v="105"/>
    <n v="1.7"/>
    <x v="323"/>
    <n v="2023"/>
    <n v="4"/>
    <n v="12"/>
    <x v="11"/>
    <x v="1"/>
    <x v="1"/>
    <x v="1"/>
    <x v="3"/>
  </r>
  <r>
    <s v="Call_8255"/>
    <x v="1"/>
    <n v="58"/>
    <x v="2"/>
    <n v="25"/>
    <n v="3.6"/>
    <x v="323"/>
    <n v="2023"/>
    <n v="4"/>
    <n v="12"/>
    <x v="11"/>
    <x v="1"/>
    <x v="1"/>
    <x v="2"/>
    <x v="2"/>
  </r>
  <r>
    <s v="Call_8256"/>
    <x v="0"/>
    <n v="90"/>
    <x v="1"/>
    <n v="176"/>
    <n v="3.6"/>
    <x v="324"/>
    <n v="2023"/>
    <n v="4"/>
    <n v="12"/>
    <x v="11"/>
    <x v="2"/>
    <x v="1"/>
    <x v="0"/>
    <x v="2"/>
  </r>
  <r>
    <s v="Call_8257"/>
    <x v="0"/>
    <n v="106"/>
    <x v="3"/>
    <n v="46"/>
    <n v="4.5999999999999996"/>
    <x v="325"/>
    <n v="2023"/>
    <n v="4"/>
    <n v="12"/>
    <x v="11"/>
    <x v="3"/>
    <x v="1"/>
    <x v="0"/>
    <x v="0"/>
  </r>
  <r>
    <s v="Call_8258"/>
    <x v="9"/>
    <n v="72"/>
    <x v="0"/>
    <n v="164"/>
    <n v="4.8"/>
    <x v="325"/>
    <n v="2023"/>
    <n v="4"/>
    <n v="12"/>
    <x v="11"/>
    <x v="3"/>
    <x v="1"/>
    <x v="0"/>
    <x v="0"/>
  </r>
  <r>
    <s v="Call_8259"/>
    <x v="10"/>
    <n v="124"/>
    <x v="0"/>
    <n v="64"/>
    <n v="4.5"/>
    <x v="326"/>
    <n v="2023"/>
    <n v="4"/>
    <n v="12"/>
    <x v="11"/>
    <x v="4"/>
    <x v="1"/>
    <x v="1"/>
    <x v="2"/>
  </r>
  <r>
    <s v="Call_8260"/>
    <x v="8"/>
    <n v="86"/>
    <x v="4"/>
    <n v="205"/>
    <n v="4.5"/>
    <x v="326"/>
    <n v="2023"/>
    <n v="4"/>
    <n v="12"/>
    <x v="11"/>
    <x v="4"/>
    <x v="1"/>
    <x v="0"/>
    <x v="2"/>
  </r>
  <r>
    <s v="Call_8261"/>
    <x v="2"/>
    <n v="164"/>
    <x v="4"/>
    <n v="100"/>
    <n v="4.5999999999999996"/>
    <x v="327"/>
    <n v="2023"/>
    <n v="4"/>
    <n v="12"/>
    <x v="11"/>
    <x v="5"/>
    <x v="1"/>
    <x v="1"/>
    <x v="0"/>
  </r>
  <r>
    <s v="Call_8262"/>
    <x v="4"/>
    <n v="40"/>
    <x v="1"/>
    <n v="111"/>
    <n v="4.5999999999999996"/>
    <x v="327"/>
    <n v="2023"/>
    <n v="4"/>
    <n v="12"/>
    <x v="11"/>
    <x v="5"/>
    <x v="1"/>
    <x v="2"/>
    <x v="0"/>
  </r>
  <r>
    <s v="Call_8263"/>
    <x v="3"/>
    <n v="76"/>
    <x v="2"/>
    <n v="80"/>
    <n v="3.5"/>
    <x v="327"/>
    <n v="2023"/>
    <n v="4"/>
    <n v="12"/>
    <x v="11"/>
    <x v="5"/>
    <x v="1"/>
    <x v="0"/>
    <x v="2"/>
  </r>
  <r>
    <s v="Call_8264"/>
    <x v="10"/>
    <n v="95"/>
    <x v="3"/>
    <n v="50"/>
    <n v="2.9"/>
    <x v="327"/>
    <n v="2023"/>
    <n v="4"/>
    <n v="12"/>
    <x v="11"/>
    <x v="5"/>
    <x v="1"/>
    <x v="0"/>
    <x v="1"/>
  </r>
  <r>
    <s v="Call_8265"/>
    <x v="3"/>
    <n v="113"/>
    <x v="0"/>
    <n v="165"/>
    <n v="4.7"/>
    <x v="328"/>
    <n v="2023"/>
    <n v="4"/>
    <n v="12"/>
    <x v="11"/>
    <x v="6"/>
    <x v="1"/>
    <x v="0"/>
    <x v="0"/>
  </r>
  <r>
    <s v="Call_8266"/>
    <x v="8"/>
    <n v="81"/>
    <x v="0"/>
    <n v="28"/>
    <n v="3.9"/>
    <x v="328"/>
    <n v="2023"/>
    <n v="4"/>
    <n v="12"/>
    <x v="11"/>
    <x v="6"/>
    <x v="1"/>
    <x v="0"/>
    <x v="2"/>
  </r>
  <r>
    <s v="Call_8267"/>
    <x v="5"/>
    <n v="127"/>
    <x v="3"/>
    <n v="215"/>
    <n v="3.8"/>
    <x v="328"/>
    <n v="2023"/>
    <n v="4"/>
    <n v="12"/>
    <x v="11"/>
    <x v="6"/>
    <x v="1"/>
    <x v="1"/>
    <x v="2"/>
  </r>
  <r>
    <s v="Call_8268"/>
    <x v="7"/>
    <n v="146"/>
    <x v="0"/>
    <n v="115"/>
    <n v="2.2999999999999998"/>
    <x v="329"/>
    <n v="2023"/>
    <n v="4"/>
    <n v="12"/>
    <x v="11"/>
    <x v="0"/>
    <x v="1"/>
    <x v="1"/>
    <x v="3"/>
  </r>
  <r>
    <s v="Call_8269"/>
    <x v="6"/>
    <n v="123"/>
    <x v="0"/>
    <n v="64"/>
    <n v="3.7"/>
    <x v="329"/>
    <n v="2023"/>
    <n v="4"/>
    <n v="12"/>
    <x v="11"/>
    <x v="0"/>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72845-3169-4BDB-8F01-4D0DAA14417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7">
    <pivotField dataField="1" showAll="0"/>
    <pivotField axis="axisRow" showAll="0">
      <items count="16">
        <item x="13"/>
        <item x="8"/>
        <item x="0"/>
        <item x="1"/>
        <item x="2"/>
        <item x="10"/>
        <item x="5"/>
        <item x="14"/>
        <item x="9"/>
        <item x="6"/>
        <item x="4"/>
        <item x="12"/>
        <item x="7"/>
        <item x="3"/>
        <item x="11"/>
        <item t="default"/>
      </items>
    </pivotField>
    <pivotField showAll="0"/>
    <pivotField showAll="0"/>
    <pivotField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all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D310EE-7938-428C-8851-14CC953051E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5:L122" firstHeaderRow="1" firstDataRow="2" firstDataCol="1"/>
  <pivotFields count="17">
    <pivotField showAll="0"/>
    <pivotField showAll="0"/>
    <pivotField dataField="1" showAll="0"/>
    <pivotField axis="axisRow" showAll="0">
      <items count="6">
        <item x="2"/>
        <item x="1"/>
        <item x="4"/>
        <item x="3"/>
        <item x="0"/>
        <item t="default"/>
      </items>
    </pivotField>
    <pivotField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Col" showAll="0">
      <items count="8">
        <item x="0"/>
        <item x="1"/>
        <item x="2"/>
        <item x="3"/>
        <item x="4"/>
        <item x="5"/>
        <item x="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11"/>
  </colFields>
  <colItems count="8">
    <i>
      <x/>
    </i>
    <i>
      <x v="1"/>
    </i>
    <i>
      <x v="2"/>
    </i>
    <i>
      <x v="3"/>
    </i>
    <i>
      <x v="4"/>
    </i>
    <i>
      <x v="5"/>
    </i>
    <i>
      <x v="6"/>
    </i>
    <i t="grand">
      <x/>
    </i>
  </colItems>
  <dataFields count="1">
    <dataField name="Count of Call_Duration" fld="2" subtotal="count" showDataAs="percentOfRow" baseField="0" baseItem="0" numFmtId="10"/>
  </dataFields>
  <conditionalFormats count="1">
    <conditionalFormat scope="field" priority="7">
      <pivotAreas count="1">
        <pivotArea outline="0" collapsedLevelsAreSubtotals="1" fieldPosition="0">
          <references count="3">
            <reference field="4294967294" count="1" selected="0">
              <x v="0"/>
            </reference>
            <reference field="3" count="0" selected="0"/>
            <reference field="1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6BF6A-9199-43B6-97B6-3E4C8AB5E44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5:B110" firstHeaderRow="1" firstDataRow="1" firstDataCol="1"/>
  <pivotFields count="17">
    <pivotField showAll="0"/>
    <pivotField showAll="0"/>
    <pivotField showAll="0"/>
    <pivotField showAll="0">
      <items count="6">
        <item h="1" x="2"/>
        <item h="1" x="1"/>
        <item h="1" x="4"/>
        <item h="1" x="3"/>
        <item x="0"/>
        <item t="default"/>
      </items>
    </pivotField>
    <pivotField dataField="1"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items count="13">
        <item sd="0" x="0"/>
        <item sd="0" x="1"/>
        <item sd="0" x="2"/>
        <item sd="0" x="3"/>
        <item sd="0" x="4"/>
        <item sd="0" x="5"/>
        <item sd="0" x="6"/>
        <item sd="0" x="7"/>
        <item sd="0" x="8"/>
        <item sd="0" x="9"/>
        <item sd="0" x="10"/>
        <item sd="0" x="11"/>
        <item t="default"/>
      </items>
    </pivotField>
    <pivotField showAll="0"/>
    <pivotField axis="axisRow" showAll="0">
      <items count="3">
        <item x="0"/>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2"/>
    <field x="10"/>
  </rowFields>
  <rowItems count="15">
    <i>
      <x/>
    </i>
    <i r="1">
      <x/>
    </i>
    <i r="1">
      <x v="1"/>
    </i>
    <i r="1">
      <x v="2"/>
    </i>
    <i r="1">
      <x v="3"/>
    </i>
    <i r="1">
      <x v="4"/>
    </i>
    <i r="1">
      <x v="5"/>
    </i>
    <i>
      <x v="1"/>
    </i>
    <i r="1">
      <x v="6"/>
    </i>
    <i r="1">
      <x v="7"/>
    </i>
    <i r="1">
      <x v="8"/>
    </i>
    <i r="1">
      <x v="9"/>
    </i>
    <i r="1">
      <x v="10"/>
    </i>
    <i r="1">
      <x v="11"/>
    </i>
    <i t="grand">
      <x/>
    </i>
  </rowItems>
  <colItems count="1">
    <i/>
  </colItems>
  <dataFields count="1">
    <dataField name="Sum of Purchase_Amount" fld="4" showDataAs="runTotal" baseField="10" baseItem="0"/>
  </dataFields>
  <chartFormats count="2">
    <chartFormat chart="5"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99F25-F7F9-43F4-B727-4C7B87C15C25}"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9:N146" firstHeaderRow="1" firstDataRow="2" firstDataCol="1"/>
  <pivotFields count="17">
    <pivotField dataField="1" showAll="0"/>
    <pivotField showAll="0"/>
    <pivotField showAll="0"/>
    <pivotField axis="axisRow" showAll="0">
      <items count="6">
        <item x="2"/>
        <item x="1"/>
        <item x="4"/>
        <item x="3"/>
        <item x="0"/>
        <item t="default"/>
      </items>
    </pivotField>
    <pivotField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6"/>
  </colFields>
  <colItems count="13">
    <i>
      <x v="1"/>
    </i>
    <i>
      <x v="2"/>
    </i>
    <i>
      <x v="3"/>
    </i>
    <i>
      <x v="4"/>
    </i>
    <i>
      <x v="5"/>
    </i>
    <i>
      <x v="6"/>
    </i>
    <i>
      <x v="7"/>
    </i>
    <i>
      <x v="8"/>
    </i>
    <i>
      <x v="9"/>
    </i>
    <i>
      <x v="10"/>
    </i>
    <i>
      <x v="11"/>
    </i>
    <i>
      <x v="12"/>
    </i>
    <i t="grand">
      <x/>
    </i>
  </colItems>
  <dataFields count="1">
    <dataField name="Count of Call_Number" fld="0" subtotal="count" baseField="0" baseItem="0"/>
  </dataFields>
  <conditionalFormats count="1">
    <conditionalFormat scope="field" priority="4">
      <pivotAreas count="1">
        <pivotArea outline="0" collapsedLevelsAreSubtotals="1" fieldPosition="0">
          <references count="3">
            <reference field="4294967294" count="1" selected="0">
              <x v="0"/>
            </reference>
            <reference field="3" count="0" selected="0"/>
            <reference field="1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578443-FE9F-4C41-8E09-34FB1250C4C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6" firstHeaderRow="1" firstDataRow="1" firstDataCol="1"/>
  <pivotFields count="17">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4"/>
    </i>
    <i>
      <x v="3"/>
    </i>
    <i>
      <x v="12"/>
    </i>
    <i>
      <x v="6"/>
    </i>
    <i>
      <x v="11"/>
    </i>
    <i>
      <x/>
    </i>
    <i>
      <x v="10"/>
    </i>
    <i>
      <x v="8"/>
    </i>
    <i>
      <x v="14"/>
    </i>
    <i>
      <x v="9"/>
    </i>
    <i t="grand">
      <x/>
    </i>
  </rowItems>
  <colItems count="1">
    <i/>
  </colItems>
  <dataFields count="1">
    <dataField name="Sum of Purchase_Amount" fld="4" baseField="0" baseItem="0" numFmtId="44"/>
  </dataFields>
  <formats count="3">
    <format dxfId="3">
      <pivotArea collapsedLevelsAreSubtotals="1" fieldPosition="0">
        <references count="1">
          <reference field="1" count="1">
            <x v="0"/>
          </reference>
        </references>
      </pivotArea>
    </format>
    <format dxfId="2">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CABBEE-17C6-4F79-8DD7-7C93DBF47C2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40" firstHeaderRow="0" firstDataRow="1" firstDataCol="1"/>
  <pivotFields count="17">
    <pivotField dataField="1" showAll="0"/>
    <pivotField axis="axisRow" showAll="0">
      <items count="16">
        <item x="13"/>
        <item x="8"/>
        <item x="0"/>
        <item x="1"/>
        <item x="2"/>
        <item x="10"/>
        <item x="5"/>
        <item x="14"/>
        <item x="9"/>
        <item x="6"/>
        <item x="4"/>
        <item x="12"/>
        <item x="7"/>
        <item x="3"/>
        <item x="11"/>
        <item t="default"/>
      </items>
    </pivotField>
    <pivotField showAll="0"/>
    <pivotField showAll="0"/>
    <pivotField showAll="0"/>
    <pivotField dataField="1"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_Number" fld="0" subtotal="count" baseField="0" baseItem="0"/>
    <dataField name="Average of Satisfaction_Rating" fld="5"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091204-9A92-42DE-A881-F8B5299946D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1:B72" firstHeaderRow="1" firstDataRow="1" firstDataCol="1"/>
  <pivotFields count="17">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items count="6">
        <item x="2"/>
        <item x="1"/>
        <item x="4"/>
        <item x="3"/>
        <item x="0"/>
        <item t="default"/>
      </items>
    </pivotField>
    <pivotField dataField="1"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4"/>
    </i>
    <i>
      <x v="3"/>
    </i>
    <i>
      <x v="12"/>
    </i>
    <i>
      <x v="6"/>
    </i>
    <i>
      <x v="11"/>
    </i>
    <i>
      <x/>
    </i>
    <i>
      <x v="10"/>
    </i>
    <i>
      <x v="8"/>
    </i>
    <i>
      <x v="14"/>
    </i>
    <i>
      <x v="9"/>
    </i>
    <i t="grand">
      <x/>
    </i>
  </rowItems>
  <colItems count="1">
    <i/>
  </colItems>
  <dataFields count="1">
    <dataField name="Sum of Purchase_Amount" fld="4" baseField="0" baseItem="0" numFmtId="44"/>
  </dataFields>
  <formats count="3">
    <format dxfId="6">
      <pivotArea collapsedLevelsAreSubtotals="1" fieldPosition="0">
        <references count="1">
          <reference field="1" count="1">
            <x v="0"/>
          </reference>
        </references>
      </pivotArea>
    </format>
    <format dxfId="5">
      <pivotArea dataOnly="0" labelOnly="1" outline="0" axis="axisValues" fieldPosition="0"/>
    </format>
    <format dxfId="4">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D8A54E-6D30-4147-8C1A-E2E89D51E947}"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1:C167" firstHeaderRow="0" firstDataRow="1" firstDataCol="1"/>
  <pivotFields count="17">
    <pivotField dataField="1"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3"/>
    </i>
    <i>
      <x v="4"/>
    </i>
    <i>
      <x v="10"/>
    </i>
    <i>
      <x v="9"/>
    </i>
    <i>
      <x v="11"/>
    </i>
    <i>
      <x v="12"/>
    </i>
    <i>
      <x v="8"/>
    </i>
    <i>
      <x v="6"/>
    </i>
    <i>
      <x/>
    </i>
    <i>
      <x v="1"/>
    </i>
    <i>
      <x v="5"/>
    </i>
    <i>
      <x v="13"/>
    </i>
    <i>
      <x v="14"/>
    </i>
    <i>
      <x v="7"/>
    </i>
    <i>
      <x v="2"/>
    </i>
    <i t="grand">
      <x/>
    </i>
  </rowItems>
  <colFields count="1">
    <field x="-2"/>
  </colFields>
  <colItems count="2">
    <i>
      <x/>
    </i>
    <i i="1">
      <x v="1"/>
    </i>
  </colItems>
  <dataFields count="2">
    <dataField name="Sum of Purchase_Amount" fld="4" baseField="0" baseItem="0" numFmtId="44"/>
    <dataField name="Count of Call_Number" fld="0" subtotal="count" baseField="0" baseItem="0"/>
  </dataFields>
  <formats count="2">
    <format dxfId="8">
      <pivotArea collapsedLevelsAreSubtotals="1" fieldPosition="0">
        <references count="2">
          <reference field="4294967294" count="1" selected="0">
            <x v="0"/>
          </reference>
          <reference field="1" count="1">
            <x v="3"/>
          </reference>
        </references>
      </pivotArea>
    </format>
    <format dxfId="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D260DE-C2A0-4AE4-8220-C3F2F2E89C5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7:B90" firstHeaderRow="1" firstDataRow="1" firstDataCol="1"/>
  <pivotFields count="17">
    <pivotField dataField="1" showAll="0"/>
    <pivotField showAll="0"/>
    <pivotField showAll="0"/>
    <pivotField showAll="0">
      <items count="6">
        <item h="1" x="2"/>
        <item h="1" x="1"/>
        <item h="1" x="4"/>
        <item h="1" x="3"/>
        <item x="0"/>
        <item t="default"/>
      </items>
    </pivotField>
    <pivotField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Count of Call_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C9D7C8-6915-4104-A521-50ED2CB5A6A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8:G135" firstHeaderRow="1" firstDataRow="2" firstDataCol="1"/>
  <pivotFields count="17">
    <pivotField dataField="1" showAll="0"/>
    <pivotField showAll="0"/>
    <pivotField showAll="0"/>
    <pivotField showAll="0"/>
    <pivotField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4"/>
        <item x="3"/>
        <item x="2"/>
        <item x="0"/>
        <item x="1"/>
        <item t="default"/>
      </items>
    </pivotField>
    <pivotField axis="axisCol" showAll="0">
      <items count="6">
        <item x="4"/>
        <item x="3"/>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Fields count="1">
    <field x="14"/>
  </colFields>
  <colItems count="6">
    <i>
      <x/>
    </i>
    <i>
      <x v="1"/>
    </i>
    <i>
      <x v="2"/>
    </i>
    <i>
      <x v="3"/>
    </i>
    <i>
      <x v="4"/>
    </i>
    <i t="grand">
      <x/>
    </i>
  </colItems>
  <dataFields count="1">
    <dataField name="Count of Call_Number" fld="0" subtotal="count" showDataAs="percentOfRow" baseField="0" baseItem="0" numFmtId="10"/>
  </dataFields>
  <conditionalFormats count="1">
    <conditionalFormat scope="field" priority="6">
      <pivotAreas count="1">
        <pivotArea outline="0" collapsedLevelsAreSubtotals="1" fieldPosition="0">
          <references count="3">
            <reference field="4294967294" count="1" selected="0">
              <x v="0"/>
            </reference>
            <reference field="13" count="0" selected="0"/>
            <reference field="1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331358-0080-4F7B-B9E6-393C6580258E}"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B123" firstHeaderRow="1" firstDataRow="1" firstDataCol="1"/>
  <pivotFields count="17">
    <pivotField showAll="0"/>
    <pivotField showAll="0"/>
    <pivotField dataField="1" showAll="0"/>
    <pivotField showAll="0"/>
    <pivotField showAll="0"/>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Count of Call_Dura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1C6A63-48C4-47EE-AC01-D9DEFC614930}" name="summary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_Centre_KPI_dashboard.xlsx!calls_2">
        <x15:activeTabTopLevelEntity name="[call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F2A1C1-77D7-4FE8-ABF9-89531961C2F7}" name="selected rep"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1:A5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F1E366-7E04-401A-B809-985FBF4EB5F4}" name="rep satsifaction"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81:B8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_2].[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_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485A7E-F8D8-4501-B2DC-66E9842CED19}"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8:C31"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_2].[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_Centre_KPI_dashboard.xlsx!calls_2">
        <x15:activeTabTopLevelEntity name="[call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C192F8-8827-456C-8F2C-CFF0D4A6789C}"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6:D71"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_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735ED2-26DB-4397-8620-AF5645052041}" name="rep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40:C4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_Centre_KPI_dashboard.xlsx!calls_2">
        <x15:activeTabTopLevelEntity name="[call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1C3EC57-3856-4557-AFEB-3F595B0AB49E}" name="weekday 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H18:I26"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_2].[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_Centre_KPI_dashboard.xlsx!calls_2">
        <x15:activeTabTopLevelEntity name="[call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573EE30-56F0-4BBB-AC90-B5F5FDE82E04}" name="representative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_2].[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_Centre_KPI_dashboard.xlsx!calls_2">
        <x15:activeTabTopLevelEntity name="[call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C98FCC0-E457-4A3D-BD0B-F30188437C26}" name="rep amounts"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A108:G12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1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_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970DD1-5E56-4415-BD6E-C614E2B21BF5}" autoFormatId="16" applyNumberFormats="0" applyBorderFormats="0" applyFontFormats="0" applyPatternFormats="0" applyAlignmentFormats="0" applyWidthHeightFormats="0">
  <queryTableRefresh nextId="34">
    <queryTableFields count="15">
      <queryTableField id="13" name="Call_Number" tableColumnId="13"/>
      <queryTableField id="14" name="Customer_ID" tableColumnId="14"/>
      <queryTableField id="15" name="Call_Duration" tableColumnId="15"/>
      <queryTableField id="4" name="Representative" tableColumnId="4"/>
      <queryTableField id="17" name="Purchase_Amount" tableColumnId="17"/>
      <queryTableField id="18" name="Satisfaction_Rating" tableColumnId="18"/>
      <queryTableField id="16" name="Call_Date" tableColumnId="16"/>
      <queryTableField id="22" name="Year" tableColumnId="19"/>
      <queryTableField id="25" name="Quarter" tableColumnId="22"/>
      <queryTableField id="23" name="Month_Number" tableColumnId="20"/>
      <queryTableField id="24" name="Month_Name" tableColumnId="21"/>
      <queryTableField id="26" name="Weekday" tableColumnId="23"/>
      <queryTableField id="30" name="FY" tableColumnId="1"/>
      <queryTableField id="32" name="Duration_Bucket" tableColumnId="3"/>
      <queryTableField id="33" name="Rating_Rounded"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E241911-A541-4895-9DF0-F9CB7C6083AD}" sourceName="Representative">
  <pivotTables>
    <pivotTable tabId="5" name="PivotTable4"/>
  </pivotTables>
  <data>
    <tabular pivotCacheId="2138765984">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82277741-3A22-43B2-8DCD-5A5FC51CB06E}" sourceName="Representative">
  <pivotTables>
    <pivotTable tabId="5" name="PivotTable8"/>
    <pivotTable tabId="5" name="PivotTable9"/>
  </pivotTables>
  <data>
    <tabular pivotCacheId="2138765984">
      <items count="5">
        <i x="2"/>
        <i x="1"/>
        <i x="4"/>
        <i x="3"/>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AC38E83C-2F62-4E97-9367-4868D73BC4CD}" sourceName="[calls_2].[Representative]">
  <pivotTables>
    <pivotTable tabId="14" name="representative pivot"/>
    <pivotTable tabId="14" name="monthly trend"/>
    <pivotTable tabId="14" name="weekday trend"/>
    <pivotTable tabId="14" name="selected rep"/>
    <pivotTable tabId="14" name="rep satsifaction"/>
  </pivotTables>
  <data>
    <olap pivotCacheId="1556177304">
      <levels count="2">
        <level uniqueName="[calls_2].[Representative].[(All)]" sourceCaption="(All)" count="0"/>
        <level uniqueName="[calls_2].[Representative].[Representative]" sourceCaption="Representative" count="5">
          <ranges>
            <range startItem="0">
              <i n="[calls_2].[Representative].&amp;[R01]" c="R01"/>
              <i n="[calls_2].[Representative].&amp;[R02]" c="R02"/>
              <i n="[calls_2].[Representative].&amp;[R03]" c="R03"/>
              <i n="[calls_2].[Representative].&amp;[R04]" c="R04"/>
              <i n="[calls_2].[Representative].&amp;[R05]" c="R05"/>
            </range>
          </ranges>
        </level>
      </levels>
      <selections count="1">
        <selection n="[calls_2].[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A565816-CEA1-4982-9A76-8CDF6E7795EC}" cache="Slicer_Representative" caption="Representative" rowHeight="257175"/>
  <slicer name="Representative 1" xr10:uid="{70E2034A-867F-47F8-B218-6C013F4F6FDE}" cache="Slicer_Representative1"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AC53C8EF-6E00-494F-8163-C44DE5FBB5D7}" cache="Slicer_Representative2" caption="Representative" level="1" style="SlicerStyleDark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D3362-550F-40BD-BA83-875917B1B0DD}" name="calls_2" displayName="calls_2" ref="A1:O997" tableType="queryTable" totalsRowShown="0">
  <autoFilter ref="A1:O997" xr:uid="{1AAD3362-550F-40BD-BA83-875917B1B0DD}"/>
  <tableColumns count="15">
    <tableColumn id="13" xr3:uid="{635CBE9B-EC59-4B57-ABBC-52B24A097637}" uniqueName="13" name="Call_Number" queryTableFieldId="13" dataDxfId="23"/>
    <tableColumn id="14" xr3:uid="{1F7C8E0B-5574-4224-B219-EE8631878A15}" uniqueName="14" name="Customer_ID" queryTableFieldId="14" dataDxfId="22"/>
    <tableColumn id="15" xr3:uid="{8F279542-6AED-40BA-9C63-FC05B2139C1E}" uniqueName="15" name="Call_Duration" queryTableFieldId="15" dataDxfId="21"/>
    <tableColumn id="4" xr3:uid="{9F6D077F-B482-406E-8FEA-CB52067A863A}" uniqueName="4" name="Representative" queryTableFieldId="4" dataDxfId="20"/>
    <tableColumn id="17" xr3:uid="{CF40AE7E-9EBC-40A5-9E90-C364BA968394}" uniqueName="17" name="Purchase_Amount" queryTableFieldId="17"/>
    <tableColumn id="18" xr3:uid="{1550343E-D141-470D-94D3-2FF990D80B81}" uniqueName="18" name="Satisfaction_Rating" queryTableFieldId="18"/>
    <tableColumn id="16" xr3:uid="{42DE1283-B40B-4696-B1DF-F05CF319A350}" uniqueName="16" name="Call_Date" queryTableFieldId="16" dataDxfId="19"/>
    <tableColumn id="19" xr3:uid="{9A937E55-52A3-4D0E-AB84-E5035BB4065F}" uniqueName="19" name="Year" queryTableFieldId="22"/>
    <tableColumn id="22" xr3:uid="{3E3718B8-5BE9-47E6-A2F3-47A3C6A81CD3}" uniqueName="22" name="Quarter" queryTableFieldId="25"/>
    <tableColumn id="20" xr3:uid="{75E76763-0FFC-4D01-81C0-DEBBBAF44D47}" uniqueName="20" name="Month_Number" queryTableFieldId="23"/>
    <tableColumn id="21" xr3:uid="{1F2B2472-4AC5-4635-9021-4C8099DED6CF}" uniqueName="21" name="Month_Name" queryTableFieldId="24" dataDxfId="18"/>
    <tableColumn id="23" xr3:uid="{31D7A747-943A-41D1-9F9F-6C131464FC5A}" uniqueName="23" name="Weekday" queryTableFieldId="26" dataDxfId="17"/>
    <tableColumn id="1" xr3:uid="{DAE3B1B4-F119-4E30-A306-41C602A37419}" uniqueName="1" name="FY" queryTableFieldId="30"/>
    <tableColumn id="3" xr3:uid="{D140FA11-6757-487E-A2D7-C7F3C562CA94}" uniqueName="3" name="Duration_Bucket" queryTableFieldId="32"/>
    <tableColumn id="5" xr3:uid="{80EA2E3D-6EB5-4D2B-A79A-1D43BA0F7BA9}" uniqueName="5" name="Rating_Rounded"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B8024B-B813-45A0-B7F0-AE1352701EBD}" name="customers" displayName="customers" ref="A1:D16" totalsRowShown="0" headerRowDxfId="16" headerRowBorderDxfId="15" tableBorderDxfId="14" totalsRowBorderDxfId="13">
  <autoFilter ref="A1:D16" xr:uid="{29B8024B-B813-45A0-B7F0-AE1352701EBD}"/>
  <tableColumns count="4">
    <tableColumn id="1" xr3:uid="{AA124DF2-ED07-4AC1-8CA1-7D75FACA2B99}" name="Customer ID" dataDxfId="12"/>
    <tableColumn id="2" xr3:uid="{765C386E-36F7-49AD-BBF3-8A7D8573301B}" name="Gedner" dataDxfId="11"/>
    <tableColumn id="3" xr3:uid="{47619169-7586-467A-B8B4-3F4CE6BC892E}" name="Age" dataDxfId="10"/>
    <tableColumn id="4" xr3:uid="{EE1930FF-9811-41AB-B9E8-E91661E15F8B}" name="City"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DD5463-CB6D-4B4A-895A-B77AEC8BA113}">
  <we:reference id="wa200009404" version="1.0.0.8" store="en-US" storeType="OMEX"/>
  <we:alternateReferences>
    <we:reference id="wa200009404" version="1.0.0.8" store="en-US" storeType="OMEX"/>
  </we:alternateReferences>
  <we:properties>
    <we:property name="claude.fileId" value="&quot;9dbd015e-3dbd-4add-ad6c-22476d7ebd7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M1003"/>
  <sheetViews>
    <sheetView tabSelected="1" zoomScaleNormal="100" workbookViewId="0">
      <selection activeCell="M18" sqref="M18"/>
    </sheetView>
  </sheetViews>
  <sheetFormatPr defaultRowHeight="15" x14ac:dyDescent="0.25"/>
  <cols>
    <col min="1" max="1" width="3.25" customWidth="1"/>
    <col min="2" max="2" width="14.625" customWidth="1"/>
    <col min="3" max="3" width="12" customWidth="1"/>
    <col min="4" max="4" width="16.625" customWidth="1"/>
    <col min="5" max="5" width="15" customWidth="1"/>
    <col min="6" max="6" width="16.125" customWidth="1"/>
    <col min="7" max="7" width="16.75" customWidth="1"/>
    <col min="8" max="8" width="17.5" customWidth="1"/>
    <col min="9" max="11" width="6.375" customWidth="1"/>
    <col min="12" max="12" width="14.625" customWidth="1"/>
    <col min="13" max="13" width="13" customWidth="1"/>
    <col min="15" max="15" width="10.625" customWidth="1"/>
  </cols>
  <sheetData>
    <row r="1" spans="2:13" s="32" customFormat="1" ht="27.75" customHeight="1" x14ac:dyDescent="0.25">
      <c r="B1" s="31" t="s">
        <v>995</v>
      </c>
    </row>
    <row r="2" spans="2:13" x14ac:dyDescent="0.25">
      <c r="M2" s="1"/>
    </row>
    <row r="3" spans="2:13" x14ac:dyDescent="0.25">
      <c r="B3" s="4" t="s">
        <v>25</v>
      </c>
      <c r="C3" s="4" t="s">
        <v>0</v>
      </c>
      <c r="D3" s="6" t="s">
        <v>1</v>
      </c>
      <c r="E3" s="5" t="s">
        <v>3</v>
      </c>
      <c r="F3" s="5" t="s">
        <v>4</v>
      </c>
      <c r="G3" s="4" t="s">
        <v>2</v>
      </c>
      <c r="H3" s="4" t="s">
        <v>994</v>
      </c>
    </row>
    <row r="4" spans="2:13" x14ac:dyDescent="0.25">
      <c r="B4" s="2" t="s">
        <v>26</v>
      </c>
      <c r="C4" s="2" t="s">
        <v>20</v>
      </c>
      <c r="D4" s="2">
        <v>116</v>
      </c>
      <c r="E4" s="3" t="s">
        <v>10</v>
      </c>
      <c r="F4" s="7">
        <v>44927</v>
      </c>
      <c r="G4" s="2">
        <v>128</v>
      </c>
      <c r="H4" s="2">
        <v>4.9000000000000004</v>
      </c>
    </row>
    <row r="5" spans="2:13" x14ac:dyDescent="0.25">
      <c r="B5" s="2" t="s">
        <v>27</v>
      </c>
      <c r="C5" s="2" t="s">
        <v>12</v>
      </c>
      <c r="D5" s="2">
        <v>119</v>
      </c>
      <c r="E5" s="3" t="s">
        <v>10</v>
      </c>
      <c r="F5" s="7">
        <v>44927</v>
      </c>
      <c r="G5" s="2">
        <v>135</v>
      </c>
      <c r="H5" s="2">
        <v>2.9</v>
      </c>
    </row>
    <row r="6" spans="2:13" x14ac:dyDescent="0.25">
      <c r="B6" s="2" t="s">
        <v>28</v>
      </c>
      <c r="C6" s="2" t="s">
        <v>23</v>
      </c>
      <c r="D6" s="2">
        <v>68</v>
      </c>
      <c r="E6" s="3" t="s">
        <v>9</v>
      </c>
      <c r="F6" s="7">
        <v>44927</v>
      </c>
      <c r="G6" s="2">
        <v>66</v>
      </c>
      <c r="H6" s="2">
        <v>4.7</v>
      </c>
    </row>
    <row r="7" spans="2:13" x14ac:dyDescent="0.25">
      <c r="B7" s="2" t="s">
        <v>29</v>
      </c>
      <c r="C7" s="2" t="s">
        <v>21</v>
      </c>
      <c r="D7" s="2">
        <v>119</v>
      </c>
      <c r="E7" s="3" t="s">
        <v>9</v>
      </c>
      <c r="F7" s="7">
        <v>44927</v>
      </c>
      <c r="G7" s="2">
        <v>22</v>
      </c>
      <c r="H7" s="2">
        <v>2.9</v>
      </c>
    </row>
    <row r="8" spans="2:13" x14ac:dyDescent="0.25">
      <c r="B8" s="2" t="s">
        <v>30</v>
      </c>
      <c r="C8" s="2" t="s">
        <v>8</v>
      </c>
      <c r="D8" s="2">
        <v>128</v>
      </c>
      <c r="E8" s="3" t="s">
        <v>11</v>
      </c>
      <c r="F8" s="7">
        <v>44928</v>
      </c>
      <c r="G8" s="2">
        <v>31</v>
      </c>
      <c r="H8" s="2">
        <v>2.8</v>
      </c>
    </row>
    <row r="9" spans="2:13" x14ac:dyDescent="0.25">
      <c r="B9" s="2" t="s">
        <v>31</v>
      </c>
      <c r="C9" s="2" t="s">
        <v>8</v>
      </c>
      <c r="D9" s="2">
        <v>49</v>
      </c>
      <c r="E9" s="3" t="s">
        <v>9</v>
      </c>
      <c r="F9" s="7">
        <v>44929</v>
      </c>
      <c r="G9" s="2">
        <v>135</v>
      </c>
      <c r="H9" s="2">
        <v>4.8</v>
      </c>
    </row>
    <row r="10" spans="2:13" x14ac:dyDescent="0.25">
      <c r="B10" s="2" t="s">
        <v>32</v>
      </c>
      <c r="C10" s="2" t="s">
        <v>15</v>
      </c>
      <c r="D10" s="2">
        <v>84</v>
      </c>
      <c r="E10" s="3" t="s">
        <v>10</v>
      </c>
      <c r="F10" s="7">
        <v>44929</v>
      </c>
      <c r="G10" s="2">
        <v>60</v>
      </c>
      <c r="H10" s="2">
        <v>4.7</v>
      </c>
    </row>
    <row r="11" spans="2:13" x14ac:dyDescent="0.25">
      <c r="B11" s="2" t="s">
        <v>33</v>
      </c>
      <c r="C11" s="2" t="s">
        <v>20</v>
      </c>
      <c r="D11" s="2">
        <v>103</v>
      </c>
      <c r="E11" s="3" t="s">
        <v>13</v>
      </c>
      <c r="F11" s="7">
        <v>44929</v>
      </c>
      <c r="G11" s="2">
        <v>148</v>
      </c>
      <c r="H11" s="2">
        <v>4.4000000000000004</v>
      </c>
    </row>
    <row r="12" spans="2:13" x14ac:dyDescent="0.25">
      <c r="B12" s="2" t="s">
        <v>34</v>
      </c>
      <c r="C12" s="2" t="s">
        <v>23</v>
      </c>
      <c r="D12" s="2">
        <v>31</v>
      </c>
      <c r="E12" s="3" t="s">
        <v>9</v>
      </c>
      <c r="F12" s="7">
        <v>44929</v>
      </c>
      <c r="G12" s="2">
        <v>135</v>
      </c>
      <c r="H12" s="2">
        <v>3.6</v>
      </c>
    </row>
    <row r="13" spans="2:13" x14ac:dyDescent="0.25">
      <c r="B13" s="2" t="s">
        <v>35</v>
      </c>
      <c r="C13" s="2" t="s">
        <v>18</v>
      </c>
      <c r="D13" s="2">
        <v>44</v>
      </c>
      <c r="E13" s="3" t="s">
        <v>6</v>
      </c>
      <c r="F13" s="7">
        <v>44929</v>
      </c>
      <c r="G13" s="2">
        <v>105</v>
      </c>
      <c r="H13" s="2">
        <v>2.9</v>
      </c>
    </row>
    <row r="14" spans="2:13" x14ac:dyDescent="0.25">
      <c r="B14" s="2" t="s">
        <v>36</v>
      </c>
      <c r="C14" s="2" t="s">
        <v>8</v>
      </c>
      <c r="D14" s="2">
        <v>102</v>
      </c>
      <c r="E14" s="3" t="s">
        <v>9</v>
      </c>
      <c r="F14" s="7">
        <v>44929</v>
      </c>
      <c r="G14" s="2">
        <v>69</v>
      </c>
      <c r="H14" s="2">
        <v>4.9000000000000004</v>
      </c>
    </row>
    <row r="15" spans="2:13" x14ac:dyDescent="0.25">
      <c r="B15" s="2" t="s">
        <v>37</v>
      </c>
      <c r="C15" s="2" t="s">
        <v>14</v>
      </c>
      <c r="D15" s="2">
        <v>135</v>
      </c>
      <c r="E15" s="3" t="s">
        <v>10</v>
      </c>
      <c r="F15" s="7">
        <v>44929</v>
      </c>
      <c r="G15" s="2">
        <v>46</v>
      </c>
      <c r="H15" s="2">
        <v>3.4</v>
      </c>
    </row>
    <row r="16" spans="2:13" x14ac:dyDescent="0.25">
      <c r="B16" s="2" t="s">
        <v>38</v>
      </c>
      <c r="C16" s="2" t="s">
        <v>24</v>
      </c>
      <c r="D16" s="2">
        <v>98</v>
      </c>
      <c r="E16" s="3" t="s">
        <v>9</v>
      </c>
      <c r="F16" s="7">
        <v>44930</v>
      </c>
      <c r="G16" s="2">
        <v>108</v>
      </c>
      <c r="H16" s="2">
        <v>3.5</v>
      </c>
    </row>
    <row r="17" spans="2:8" x14ac:dyDescent="0.25">
      <c r="B17" s="2" t="s">
        <v>39</v>
      </c>
      <c r="C17" s="2" t="s">
        <v>18</v>
      </c>
      <c r="D17" s="2">
        <v>139</v>
      </c>
      <c r="E17" s="3" t="s">
        <v>9</v>
      </c>
      <c r="F17" s="7">
        <v>44930</v>
      </c>
      <c r="G17" s="2">
        <v>96</v>
      </c>
      <c r="H17" s="2">
        <v>4</v>
      </c>
    </row>
    <row r="18" spans="2:8" x14ac:dyDescent="0.25">
      <c r="B18" s="2" t="s">
        <v>40</v>
      </c>
      <c r="C18" s="2" t="s">
        <v>14</v>
      </c>
      <c r="D18" s="2">
        <v>48</v>
      </c>
      <c r="E18" s="3" t="s">
        <v>11</v>
      </c>
      <c r="F18" s="7">
        <v>44930</v>
      </c>
      <c r="G18" s="2">
        <v>68</v>
      </c>
      <c r="H18" s="2">
        <v>4.9000000000000004</v>
      </c>
    </row>
    <row r="19" spans="2:8" x14ac:dyDescent="0.25">
      <c r="B19" s="2" t="s">
        <v>41</v>
      </c>
      <c r="C19" s="2" t="s">
        <v>18</v>
      </c>
      <c r="D19" s="2">
        <v>176</v>
      </c>
      <c r="E19" s="3" t="s">
        <v>10</v>
      </c>
      <c r="F19" s="7">
        <v>44931</v>
      </c>
      <c r="G19" s="2">
        <v>24</v>
      </c>
      <c r="H19" s="2">
        <v>4.8</v>
      </c>
    </row>
    <row r="20" spans="2:8" x14ac:dyDescent="0.25">
      <c r="B20" s="2" t="s">
        <v>42</v>
      </c>
      <c r="C20" s="2" t="s">
        <v>18</v>
      </c>
      <c r="D20" s="2">
        <v>99</v>
      </c>
      <c r="E20" s="3" t="s">
        <v>11</v>
      </c>
      <c r="F20" s="7">
        <v>44931</v>
      </c>
      <c r="G20" s="2">
        <v>195</v>
      </c>
      <c r="H20" s="2">
        <v>3.9</v>
      </c>
    </row>
    <row r="21" spans="2:8" x14ac:dyDescent="0.25">
      <c r="B21" s="2" t="s">
        <v>43</v>
      </c>
      <c r="C21" s="2" t="s">
        <v>22</v>
      </c>
      <c r="D21" s="2">
        <v>28</v>
      </c>
      <c r="E21" s="3" t="s">
        <v>6</v>
      </c>
      <c r="F21" s="7">
        <v>44931</v>
      </c>
      <c r="G21" s="2">
        <v>28</v>
      </c>
      <c r="H21" s="2">
        <v>3.8</v>
      </c>
    </row>
    <row r="22" spans="2:8" x14ac:dyDescent="0.25">
      <c r="B22" s="2" t="s">
        <v>44</v>
      </c>
      <c r="C22" s="2" t="s">
        <v>15</v>
      </c>
      <c r="D22" s="2">
        <v>54</v>
      </c>
      <c r="E22" s="3" t="s">
        <v>9</v>
      </c>
      <c r="F22" s="7">
        <v>44931</v>
      </c>
      <c r="G22" s="2">
        <v>170</v>
      </c>
      <c r="H22" s="2">
        <v>4.3</v>
      </c>
    </row>
    <row r="23" spans="2:8" x14ac:dyDescent="0.25">
      <c r="B23" s="2" t="s">
        <v>45</v>
      </c>
      <c r="C23" s="2" t="s">
        <v>7</v>
      </c>
      <c r="D23" s="2">
        <v>48</v>
      </c>
      <c r="E23" s="3" t="s">
        <v>10</v>
      </c>
      <c r="F23" s="7">
        <v>44932</v>
      </c>
      <c r="G23" s="2">
        <v>30</v>
      </c>
      <c r="H23" s="2">
        <v>4.4000000000000004</v>
      </c>
    </row>
    <row r="24" spans="2:8" x14ac:dyDescent="0.25">
      <c r="B24" s="2" t="s">
        <v>46</v>
      </c>
      <c r="C24" s="2" t="s">
        <v>12</v>
      </c>
      <c r="D24" s="2">
        <v>128</v>
      </c>
      <c r="E24" s="3" t="s">
        <v>10</v>
      </c>
      <c r="F24" s="7">
        <v>44932</v>
      </c>
      <c r="G24" s="2">
        <v>72</v>
      </c>
      <c r="H24" s="2">
        <v>5</v>
      </c>
    </row>
    <row r="25" spans="2:8" x14ac:dyDescent="0.25">
      <c r="B25" s="2" t="s">
        <v>47</v>
      </c>
      <c r="C25" s="2" t="s">
        <v>12</v>
      </c>
      <c r="D25" s="2">
        <v>38</v>
      </c>
      <c r="E25" s="3" t="s">
        <v>13</v>
      </c>
      <c r="F25" s="7">
        <v>44933</v>
      </c>
      <c r="G25" s="2">
        <v>92</v>
      </c>
      <c r="H25" s="2">
        <v>4.9000000000000004</v>
      </c>
    </row>
    <row r="26" spans="2:8" x14ac:dyDescent="0.25">
      <c r="B26" s="2" t="s">
        <v>48</v>
      </c>
      <c r="C26" s="2" t="s">
        <v>20</v>
      </c>
      <c r="D26" s="2">
        <v>67</v>
      </c>
      <c r="E26" s="3" t="s">
        <v>13</v>
      </c>
      <c r="F26" s="7">
        <v>44934</v>
      </c>
      <c r="G26" s="2">
        <v>165</v>
      </c>
      <c r="H26" s="2">
        <v>4.5</v>
      </c>
    </row>
    <row r="27" spans="2:8" x14ac:dyDescent="0.25">
      <c r="B27" s="2" t="s">
        <v>49</v>
      </c>
      <c r="C27" s="2" t="s">
        <v>19</v>
      </c>
      <c r="D27" s="2">
        <v>58</v>
      </c>
      <c r="E27" s="3" t="s">
        <v>9</v>
      </c>
      <c r="F27" s="7">
        <v>44934</v>
      </c>
      <c r="G27" s="2">
        <v>140</v>
      </c>
      <c r="H27" s="2">
        <v>2.1</v>
      </c>
    </row>
    <row r="28" spans="2:8" x14ac:dyDescent="0.25">
      <c r="B28" s="2" t="s">
        <v>50</v>
      </c>
      <c r="C28" s="2" t="s">
        <v>18</v>
      </c>
      <c r="D28" s="2">
        <v>54</v>
      </c>
      <c r="E28" s="3" t="s">
        <v>11</v>
      </c>
      <c r="F28" s="7">
        <v>44934</v>
      </c>
      <c r="G28" s="2">
        <v>111</v>
      </c>
      <c r="H28" s="2">
        <v>3.3</v>
      </c>
    </row>
    <row r="29" spans="2:8" x14ac:dyDescent="0.25">
      <c r="B29" s="2" t="s">
        <v>51</v>
      </c>
      <c r="C29" s="2" t="s">
        <v>16</v>
      </c>
      <c r="D29" s="2">
        <v>28</v>
      </c>
      <c r="E29" s="3" t="s">
        <v>10</v>
      </c>
      <c r="F29" s="7">
        <v>44935</v>
      </c>
      <c r="G29" s="2">
        <v>63</v>
      </c>
      <c r="H29" s="2">
        <v>4.0999999999999996</v>
      </c>
    </row>
    <row r="30" spans="2:8" x14ac:dyDescent="0.25">
      <c r="B30" s="2" t="s">
        <v>52</v>
      </c>
      <c r="C30" s="2" t="s">
        <v>24</v>
      </c>
      <c r="D30" s="2">
        <v>73</v>
      </c>
      <c r="E30" s="3" t="s">
        <v>10</v>
      </c>
      <c r="F30" s="7">
        <v>44935</v>
      </c>
      <c r="G30" s="2">
        <v>80</v>
      </c>
      <c r="H30" s="2">
        <v>4.2</v>
      </c>
    </row>
    <row r="31" spans="2:8" x14ac:dyDescent="0.25">
      <c r="B31" s="2" t="s">
        <v>53</v>
      </c>
      <c r="C31" s="2" t="s">
        <v>8</v>
      </c>
      <c r="D31" s="2">
        <v>81</v>
      </c>
      <c r="E31" s="3" t="s">
        <v>10</v>
      </c>
      <c r="F31" s="7">
        <v>44936</v>
      </c>
      <c r="G31" s="2">
        <v>50</v>
      </c>
      <c r="H31" s="2">
        <v>4.5999999999999996</v>
      </c>
    </row>
    <row r="32" spans="2:8" x14ac:dyDescent="0.25">
      <c r="B32" s="2" t="s">
        <v>54</v>
      </c>
      <c r="C32" s="2" t="s">
        <v>22</v>
      </c>
      <c r="D32" s="2">
        <v>31</v>
      </c>
      <c r="E32" s="3" t="s">
        <v>13</v>
      </c>
      <c r="F32" s="7">
        <v>44936</v>
      </c>
      <c r="G32" s="2">
        <v>123</v>
      </c>
      <c r="H32" s="2">
        <v>2.9</v>
      </c>
    </row>
    <row r="33" spans="2:8" x14ac:dyDescent="0.25">
      <c r="B33" s="2" t="s">
        <v>55</v>
      </c>
      <c r="C33" s="2" t="s">
        <v>19</v>
      </c>
      <c r="D33" s="2">
        <v>155</v>
      </c>
      <c r="E33" s="3" t="s">
        <v>11</v>
      </c>
      <c r="F33" s="7">
        <v>44936</v>
      </c>
      <c r="G33" s="2">
        <v>110</v>
      </c>
      <c r="H33" s="2">
        <v>4.8</v>
      </c>
    </row>
    <row r="34" spans="2:8" x14ac:dyDescent="0.25">
      <c r="B34" s="2" t="s">
        <v>56</v>
      </c>
      <c r="C34" s="2" t="s">
        <v>22</v>
      </c>
      <c r="D34" s="2">
        <v>80</v>
      </c>
      <c r="E34" s="3" t="s">
        <v>10</v>
      </c>
      <c r="F34" s="7">
        <v>44936</v>
      </c>
      <c r="G34" s="2">
        <v>140</v>
      </c>
      <c r="H34" s="2">
        <v>4.2</v>
      </c>
    </row>
    <row r="35" spans="2:8" x14ac:dyDescent="0.25">
      <c r="B35" s="2" t="s">
        <v>57</v>
      </c>
      <c r="C35" s="2" t="s">
        <v>8</v>
      </c>
      <c r="D35" s="2">
        <v>82</v>
      </c>
      <c r="E35" s="3" t="s">
        <v>10</v>
      </c>
      <c r="F35" s="7">
        <v>44938</v>
      </c>
      <c r="G35" s="2">
        <v>42</v>
      </c>
      <c r="H35" s="2">
        <v>3.7</v>
      </c>
    </row>
    <row r="36" spans="2:8" x14ac:dyDescent="0.25">
      <c r="B36" s="2" t="s">
        <v>58</v>
      </c>
      <c r="C36" s="2" t="s">
        <v>8</v>
      </c>
      <c r="D36" s="2">
        <v>29</v>
      </c>
      <c r="E36" s="3" t="s">
        <v>11</v>
      </c>
      <c r="F36" s="7">
        <v>44938</v>
      </c>
      <c r="G36" s="2">
        <v>170</v>
      </c>
      <c r="H36" s="2">
        <v>5</v>
      </c>
    </row>
    <row r="37" spans="2:8" x14ac:dyDescent="0.25">
      <c r="B37" s="2" t="s">
        <v>59</v>
      </c>
      <c r="C37" s="2" t="s">
        <v>7</v>
      </c>
      <c r="D37" s="2">
        <v>160</v>
      </c>
      <c r="E37" s="3" t="s">
        <v>9</v>
      </c>
      <c r="F37" s="7">
        <v>44940</v>
      </c>
      <c r="G37" s="2">
        <v>105</v>
      </c>
      <c r="H37" s="2">
        <v>5</v>
      </c>
    </row>
    <row r="38" spans="2:8" x14ac:dyDescent="0.25">
      <c r="B38" s="2" t="s">
        <v>60</v>
      </c>
      <c r="C38" s="2" t="s">
        <v>17</v>
      </c>
      <c r="D38" s="2">
        <v>105</v>
      </c>
      <c r="E38" s="3" t="s">
        <v>10</v>
      </c>
      <c r="F38" s="7">
        <v>44941</v>
      </c>
      <c r="G38" s="2">
        <v>125</v>
      </c>
      <c r="H38" s="2">
        <v>4.8</v>
      </c>
    </row>
    <row r="39" spans="2:8" x14ac:dyDescent="0.25">
      <c r="B39" s="2" t="s">
        <v>61</v>
      </c>
      <c r="C39" s="2" t="s">
        <v>22</v>
      </c>
      <c r="D39" s="2">
        <v>75</v>
      </c>
      <c r="E39" s="3" t="s">
        <v>6</v>
      </c>
      <c r="F39" s="7">
        <v>44941</v>
      </c>
      <c r="G39" s="2">
        <v>26</v>
      </c>
      <c r="H39" s="2">
        <v>2.4</v>
      </c>
    </row>
    <row r="40" spans="2:8" x14ac:dyDescent="0.25">
      <c r="B40" s="2" t="s">
        <v>62</v>
      </c>
      <c r="C40" s="2" t="s">
        <v>19</v>
      </c>
      <c r="D40" s="2">
        <v>94</v>
      </c>
      <c r="E40" s="3" t="s">
        <v>6</v>
      </c>
      <c r="F40" s="7">
        <v>44942</v>
      </c>
      <c r="G40" s="2">
        <v>120</v>
      </c>
      <c r="H40" s="2">
        <v>3.1</v>
      </c>
    </row>
    <row r="41" spans="2:8" x14ac:dyDescent="0.25">
      <c r="B41" s="2" t="s">
        <v>63</v>
      </c>
      <c r="C41" s="2" t="s">
        <v>12</v>
      </c>
      <c r="D41" s="2">
        <v>90</v>
      </c>
      <c r="E41" s="3" t="s">
        <v>9</v>
      </c>
      <c r="F41" s="7">
        <v>44942</v>
      </c>
      <c r="G41" s="2">
        <v>132</v>
      </c>
      <c r="H41" s="2">
        <v>3.2</v>
      </c>
    </row>
    <row r="42" spans="2:8" x14ac:dyDescent="0.25">
      <c r="B42" s="2" t="s">
        <v>64</v>
      </c>
      <c r="C42" s="2" t="s">
        <v>19</v>
      </c>
      <c r="D42" s="2">
        <v>81</v>
      </c>
      <c r="E42" s="3" t="s">
        <v>13</v>
      </c>
      <c r="F42" s="7">
        <v>44943</v>
      </c>
      <c r="G42" s="2">
        <v>86</v>
      </c>
      <c r="H42" s="2">
        <v>2.4</v>
      </c>
    </row>
    <row r="43" spans="2:8" x14ac:dyDescent="0.25">
      <c r="B43" s="2" t="s">
        <v>65</v>
      </c>
      <c r="C43" s="2" t="s">
        <v>22</v>
      </c>
      <c r="D43" s="2">
        <v>106</v>
      </c>
      <c r="E43" s="3" t="s">
        <v>10</v>
      </c>
      <c r="F43" s="7">
        <v>44943</v>
      </c>
      <c r="G43" s="2">
        <v>108</v>
      </c>
      <c r="H43" s="2">
        <v>5</v>
      </c>
    </row>
    <row r="44" spans="2:8" x14ac:dyDescent="0.25">
      <c r="B44" s="2" t="s">
        <v>66</v>
      </c>
      <c r="C44" s="2" t="s">
        <v>12</v>
      </c>
      <c r="D44" s="2">
        <v>74</v>
      </c>
      <c r="E44" s="3" t="s">
        <v>13</v>
      </c>
      <c r="F44" s="7">
        <v>44943</v>
      </c>
      <c r="G44" s="2">
        <v>96</v>
      </c>
      <c r="H44" s="2">
        <v>4.7</v>
      </c>
    </row>
    <row r="45" spans="2:8" x14ac:dyDescent="0.25">
      <c r="B45" s="2" t="s">
        <v>67</v>
      </c>
      <c r="C45" s="2" t="s">
        <v>18</v>
      </c>
      <c r="D45" s="2">
        <v>105</v>
      </c>
      <c r="E45" s="3" t="s">
        <v>9</v>
      </c>
      <c r="F45" s="7">
        <v>44944</v>
      </c>
      <c r="G45" s="2">
        <v>80</v>
      </c>
      <c r="H45" s="2">
        <v>4.7</v>
      </c>
    </row>
    <row r="46" spans="2:8" x14ac:dyDescent="0.25">
      <c r="B46" s="2" t="s">
        <v>68</v>
      </c>
      <c r="C46" s="2" t="s">
        <v>22</v>
      </c>
      <c r="D46" s="2">
        <v>89</v>
      </c>
      <c r="E46" s="3" t="s">
        <v>10</v>
      </c>
      <c r="F46" s="7">
        <v>44944</v>
      </c>
      <c r="G46" s="2">
        <v>155</v>
      </c>
      <c r="H46" s="2">
        <v>4.0999999999999996</v>
      </c>
    </row>
    <row r="47" spans="2:8" x14ac:dyDescent="0.25">
      <c r="B47" s="2" t="s">
        <v>69</v>
      </c>
      <c r="C47" s="2" t="s">
        <v>14</v>
      </c>
      <c r="D47" s="2">
        <v>132</v>
      </c>
      <c r="E47" s="3" t="s">
        <v>6</v>
      </c>
      <c r="F47" s="7">
        <v>44944</v>
      </c>
      <c r="G47" s="2">
        <v>168</v>
      </c>
      <c r="H47" s="2">
        <v>4.0999999999999996</v>
      </c>
    </row>
    <row r="48" spans="2:8" x14ac:dyDescent="0.25">
      <c r="B48" s="2" t="s">
        <v>70</v>
      </c>
      <c r="C48" s="2" t="s">
        <v>17</v>
      </c>
      <c r="D48" s="2">
        <v>105</v>
      </c>
      <c r="E48" s="3" t="s">
        <v>11</v>
      </c>
      <c r="F48" s="7">
        <v>44944</v>
      </c>
      <c r="G48" s="2">
        <v>56</v>
      </c>
      <c r="H48" s="2">
        <v>3.6</v>
      </c>
    </row>
    <row r="49" spans="2:8" x14ac:dyDescent="0.25">
      <c r="B49" s="2" t="s">
        <v>71</v>
      </c>
      <c r="C49" s="2" t="s">
        <v>8</v>
      </c>
      <c r="D49" s="2">
        <v>13</v>
      </c>
      <c r="E49" s="3" t="s">
        <v>6</v>
      </c>
      <c r="F49" s="7">
        <v>44945</v>
      </c>
      <c r="G49" s="2">
        <v>32</v>
      </c>
      <c r="H49" s="2">
        <v>4.4000000000000004</v>
      </c>
    </row>
    <row r="50" spans="2:8" x14ac:dyDescent="0.25">
      <c r="B50" s="2" t="s">
        <v>72</v>
      </c>
      <c r="C50" s="2" t="s">
        <v>21</v>
      </c>
      <c r="D50" s="2">
        <v>131</v>
      </c>
      <c r="E50" s="3" t="s">
        <v>11</v>
      </c>
      <c r="F50" s="7">
        <v>44945</v>
      </c>
      <c r="G50" s="2">
        <v>78</v>
      </c>
      <c r="H50" s="2">
        <v>4.4000000000000004</v>
      </c>
    </row>
    <row r="51" spans="2:8" x14ac:dyDescent="0.25">
      <c r="B51" s="2" t="s">
        <v>73</v>
      </c>
      <c r="C51" s="2" t="s">
        <v>12</v>
      </c>
      <c r="D51" s="2">
        <v>104</v>
      </c>
      <c r="E51" s="3" t="s">
        <v>10</v>
      </c>
      <c r="F51" s="7">
        <v>44945</v>
      </c>
      <c r="G51" s="2">
        <v>86</v>
      </c>
      <c r="H51" s="2">
        <v>4</v>
      </c>
    </row>
    <row r="52" spans="2:8" x14ac:dyDescent="0.25">
      <c r="B52" s="2" t="s">
        <v>74</v>
      </c>
      <c r="C52" s="2" t="s">
        <v>20</v>
      </c>
      <c r="D52" s="2">
        <v>90</v>
      </c>
      <c r="E52" s="3" t="s">
        <v>9</v>
      </c>
      <c r="F52" s="7">
        <v>44946</v>
      </c>
      <c r="G52" s="2">
        <v>64</v>
      </c>
      <c r="H52" s="2">
        <v>3.8</v>
      </c>
    </row>
    <row r="53" spans="2:8" x14ac:dyDescent="0.25">
      <c r="B53" s="2" t="s">
        <v>75</v>
      </c>
      <c r="C53" s="2" t="s">
        <v>16</v>
      </c>
      <c r="D53" s="2">
        <v>37</v>
      </c>
      <c r="E53" s="3" t="s">
        <v>9</v>
      </c>
      <c r="F53" s="7">
        <v>44946</v>
      </c>
      <c r="G53" s="2">
        <v>96</v>
      </c>
      <c r="H53" s="2">
        <v>3.6</v>
      </c>
    </row>
    <row r="54" spans="2:8" x14ac:dyDescent="0.25">
      <c r="B54" s="2" t="s">
        <v>76</v>
      </c>
      <c r="C54" s="2" t="s">
        <v>24</v>
      </c>
      <c r="D54" s="2">
        <v>149</v>
      </c>
      <c r="E54" s="3" t="s">
        <v>11</v>
      </c>
      <c r="F54" s="7">
        <v>44946</v>
      </c>
      <c r="G54" s="2">
        <v>72</v>
      </c>
      <c r="H54" s="2">
        <v>4.3</v>
      </c>
    </row>
    <row r="55" spans="2:8" x14ac:dyDescent="0.25">
      <c r="B55" s="2" t="s">
        <v>77</v>
      </c>
      <c r="C55" s="2" t="s">
        <v>14</v>
      </c>
      <c r="D55" s="2">
        <v>100</v>
      </c>
      <c r="E55" s="3" t="s">
        <v>13</v>
      </c>
      <c r="F55" s="7">
        <v>44947</v>
      </c>
      <c r="G55" s="2">
        <v>135</v>
      </c>
      <c r="H55" s="2">
        <v>3.8</v>
      </c>
    </row>
    <row r="56" spans="2:8" x14ac:dyDescent="0.25">
      <c r="B56" s="2" t="s">
        <v>78</v>
      </c>
      <c r="C56" s="2" t="s">
        <v>14</v>
      </c>
      <c r="D56" s="2">
        <v>79</v>
      </c>
      <c r="E56" s="3" t="s">
        <v>6</v>
      </c>
      <c r="F56" s="7">
        <v>44947</v>
      </c>
      <c r="G56" s="2">
        <v>140</v>
      </c>
      <c r="H56" s="2">
        <v>4.5</v>
      </c>
    </row>
    <row r="57" spans="2:8" x14ac:dyDescent="0.25">
      <c r="B57" s="2" t="s">
        <v>79</v>
      </c>
      <c r="C57" s="2" t="s">
        <v>5</v>
      </c>
      <c r="D57" s="2">
        <v>157</v>
      </c>
      <c r="E57" s="3" t="s">
        <v>11</v>
      </c>
      <c r="F57" s="7">
        <v>44947</v>
      </c>
      <c r="G57" s="2">
        <v>69</v>
      </c>
      <c r="H57" s="2">
        <v>4.5</v>
      </c>
    </row>
    <row r="58" spans="2:8" x14ac:dyDescent="0.25">
      <c r="B58" s="2" t="s">
        <v>80</v>
      </c>
      <c r="C58" s="2" t="s">
        <v>14</v>
      </c>
      <c r="D58" s="2">
        <v>59</v>
      </c>
      <c r="E58" s="3" t="s">
        <v>10</v>
      </c>
      <c r="F58" s="7">
        <v>44948</v>
      </c>
      <c r="G58" s="2">
        <v>136</v>
      </c>
      <c r="H58" s="2">
        <v>4.5999999999999996</v>
      </c>
    </row>
    <row r="59" spans="2:8" x14ac:dyDescent="0.25">
      <c r="B59" s="2" t="s">
        <v>81</v>
      </c>
      <c r="C59" s="2" t="s">
        <v>16</v>
      </c>
      <c r="D59" s="2">
        <v>83</v>
      </c>
      <c r="E59" s="3" t="s">
        <v>11</v>
      </c>
      <c r="F59" s="7">
        <v>44948</v>
      </c>
      <c r="G59" s="2">
        <v>28</v>
      </c>
      <c r="H59" s="2">
        <v>4.5</v>
      </c>
    </row>
    <row r="60" spans="2:8" x14ac:dyDescent="0.25">
      <c r="B60" s="2" t="s">
        <v>82</v>
      </c>
      <c r="C60" s="2" t="s">
        <v>5</v>
      </c>
      <c r="D60" s="2">
        <v>58</v>
      </c>
      <c r="E60" s="3" t="s">
        <v>9</v>
      </c>
      <c r="F60" s="7">
        <v>44949</v>
      </c>
      <c r="G60" s="2">
        <v>135</v>
      </c>
      <c r="H60" s="2">
        <v>3.3</v>
      </c>
    </row>
    <row r="61" spans="2:8" x14ac:dyDescent="0.25">
      <c r="B61" s="2" t="s">
        <v>83</v>
      </c>
      <c r="C61" s="2" t="s">
        <v>19</v>
      </c>
      <c r="D61" s="2">
        <v>118</v>
      </c>
      <c r="E61" s="3" t="s">
        <v>9</v>
      </c>
      <c r="F61" s="7">
        <v>44949</v>
      </c>
      <c r="G61" s="2">
        <v>126</v>
      </c>
      <c r="H61" s="2">
        <v>2.2999999999999998</v>
      </c>
    </row>
    <row r="62" spans="2:8" x14ac:dyDescent="0.25">
      <c r="B62" s="2" t="s">
        <v>84</v>
      </c>
      <c r="C62" s="2" t="s">
        <v>8</v>
      </c>
      <c r="D62" s="2">
        <v>63</v>
      </c>
      <c r="E62" s="3" t="s">
        <v>10</v>
      </c>
      <c r="F62" s="7">
        <v>44949</v>
      </c>
      <c r="G62" s="2">
        <v>160</v>
      </c>
      <c r="H62" s="2">
        <v>4.3</v>
      </c>
    </row>
    <row r="63" spans="2:8" x14ac:dyDescent="0.25">
      <c r="B63" s="2" t="s">
        <v>85</v>
      </c>
      <c r="C63" s="2" t="s">
        <v>5</v>
      </c>
      <c r="D63" s="2">
        <v>95</v>
      </c>
      <c r="E63" s="3" t="s">
        <v>9</v>
      </c>
      <c r="F63" s="7">
        <v>44950</v>
      </c>
      <c r="G63" s="2">
        <v>48</v>
      </c>
      <c r="H63" s="2">
        <v>4.5999999999999996</v>
      </c>
    </row>
    <row r="64" spans="2:8" x14ac:dyDescent="0.25">
      <c r="B64" s="2" t="s">
        <v>86</v>
      </c>
      <c r="C64" s="2" t="s">
        <v>14</v>
      </c>
      <c r="D64" s="2">
        <v>74</v>
      </c>
      <c r="E64" s="3" t="s">
        <v>11</v>
      </c>
      <c r="F64" s="7">
        <v>44950</v>
      </c>
      <c r="G64" s="2">
        <v>66</v>
      </c>
      <c r="H64" s="2">
        <v>4</v>
      </c>
    </row>
    <row r="65" spans="2:8" x14ac:dyDescent="0.25">
      <c r="B65" s="2" t="s">
        <v>87</v>
      </c>
      <c r="C65" s="2" t="s">
        <v>18</v>
      </c>
      <c r="D65" s="2">
        <v>130</v>
      </c>
      <c r="E65" s="3" t="s">
        <v>13</v>
      </c>
      <c r="F65" s="7">
        <v>44950</v>
      </c>
      <c r="G65" s="2">
        <v>126</v>
      </c>
      <c r="H65" s="2">
        <v>2.5</v>
      </c>
    </row>
    <row r="66" spans="2:8" x14ac:dyDescent="0.25">
      <c r="B66" s="2" t="s">
        <v>88</v>
      </c>
      <c r="C66" s="2" t="s">
        <v>19</v>
      </c>
      <c r="D66" s="2">
        <v>110</v>
      </c>
      <c r="E66" s="3" t="s">
        <v>6</v>
      </c>
      <c r="F66" s="7">
        <v>44950</v>
      </c>
      <c r="G66" s="2">
        <v>96</v>
      </c>
      <c r="H66" s="2">
        <v>5</v>
      </c>
    </row>
    <row r="67" spans="2:8" x14ac:dyDescent="0.25">
      <c r="B67" s="2" t="s">
        <v>89</v>
      </c>
      <c r="C67" s="2" t="s">
        <v>14</v>
      </c>
      <c r="D67" s="2">
        <v>71</v>
      </c>
      <c r="E67" s="3" t="s">
        <v>10</v>
      </c>
      <c r="F67" s="7">
        <v>44951</v>
      </c>
      <c r="G67" s="2">
        <v>90</v>
      </c>
      <c r="H67" s="2">
        <v>3.8</v>
      </c>
    </row>
    <row r="68" spans="2:8" x14ac:dyDescent="0.25">
      <c r="B68" s="2" t="s">
        <v>90</v>
      </c>
      <c r="C68" s="2" t="s">
        <v>17</v>
      </c>
      <c r="D68" s="2">
        <v>147</v>
      </c>
      <c r="E68" s="3" t="s">
        <v>13</v>
      </c>
      <c r="F68" s="7">
        <v>44951</v>
      </c>
      <c r="G68" s="2">
        <v>105</v>
      </c>
      <c r="H68" s="2">
        <v>4.4000000000000004</v>
      </c>
    </row>
    <row r="69" spans="2:8" x14ac:dyDescent="0.25">
      <c r="B69" s="2" t="s">
        <v>91</v>
      </c>
      <c r="C69" s="2" t="s">
        <v>12</v>
      </c>
      <c r="D69" s="2">
        <v>69</v>
      </c>
      <c r="E69" s="3" t="s">
        <v>9</v>
      </c>
      <c r="F69" s="7">
        <v>44952</v>
      </c>
      <c r="G69" s="2">
        <v>40</v>
      </c>
      <c r="H69" s="2">
        <v>3.8</v>
      </c>
    </row>
    <row r="70" spans="2:8" x14ac:dyDescent="0.25">
      <c r="B70" s="2" t="s">
        <v>92</v>
      </c>
      <c r="C70" s="2" t="s">
        <v>19</v>
      </c>
      <c r="D70" s="2">
        <v>50</v>
      </c>
      <c r="E70" s="3" t="s">
        <v>10</v>
      </c>
      <c r="F70" s="7">
        <v>44952</v>
      </c>
      <c r="G70" s="2">
        <v>60</v>
      </c>
      <c r="H70" s="2">
        <v>2</v>
      </c>
    </row>
    <row r="71" spans="2:8" x14ac:dyDescent="0.25">
      <c r="B71" s="2" t="s">
        <v>93</v>
      </c>
      <c r="C71" s="2" t="s">
        <v>18</v>
      </c>
      <c r="D71" s="2">
        <v>124</v>
      </c>
      <c r="E71" s="3" t="s">
        <v>13</v>
      </c>
      <c r="F71" s="7">
        <v>44953</v>
      </c>
      <c r="G71" s="2">
        <v>215</v>
      </c>
      <c r="H71" s="2">
        <v>4.0999999999999996</v>
      </c>
    </row>
    <row r="72" spans="2:8" x14ac:dyDescent="0.25">
      <c r="B72" s="2" t="s">
        <v>94</v>
      </c>
      <c r="C72" s="2" t="s">
        <v>23</v>
      </c>
      <c r="D72" s="2">
        <v>81</v>
      </c>
      <c r="E72" s="3" t="s">
        <v>11</v>
      </c>
      <c r="F72" s="7">
        <v>44953</v>
      </c>
      <c r="G72" s="2">
        <v>156</v>
      </c>
      <c r="H72" s="2">
        <v>2.6</v>
      </c>
    </row>
    <row r="73" spans="2:8" x14ac:dyDescent="0.25">
      <c r="B73" s="2" t="s">
        <v>95</v>
      </c>
      <c r="C73" s="2" t="s">
        <v>7</v>
      </c>
      <c r="D73" s="2">
        <v>141</v>
      </c>
      <c r="E73" s="3" t="s">
        <v>6</v>
      </c>
      <c r="F73" s="7">
        <v>44953</v>
      </c>
      <c r="G73" s="2">
        <v>54</v>
      </c>
      <c r="H73" s="2">
        <v>0</v>
      </c>
    </row>
    <row r="74" spans="2:8" x14ac:dyDescent="0.25">
      <c r="B74" s="2" t="s">
        <v>96</v>
      </c>
      <c r="C74" s="2" t="s">
        <v>7</v>
      </c>
      <c r="D74" s="2">
        <v>168</v>
      </c>
      <c r="E74" s="3" t="s">
        <v>6</v>
      </c>
      <c r="F74" s="7">
        <v>44954</v>
      </c>
      <c r="G74" s="2">
        <v>160</v>
      </c>
      <c r="H74" s="2">
        <v>3.9</v>
      </c>
    </row>
    <row r="75" spans="2:8" x14ac:dyDescent="0.25">
      <c r="B75" s="2" t="s">
        <v>97</v>
      </c>
      <c r="C75" s="2" t="s">
        <v>17</v>
      </c>
      <c r="D75" s="2">
        <v>101</v>
      </c>
      <c r="E75" s="3" t="s">
        <v>11</v>
      </c>
      <c r="F75" s="7">
        <v>44954</v>
      </c>
      <c r="G75" s="2">
        <v>80</v>
      </c>
      <c r="H75" s="2">
        <v>4.8</v>
      </c>
    </row>
    <row r="76" spans="2:8" x14ac:dyDescent="0.25">
      <c r="B76" s="2" t="s">
        <v>98</v>
      </c>
      <c r="C76" s="2" t="s">
        <v>14</v>
      </c>
      <c r="D76" s="2">
        <v>67</v>
      </c>
      <c r="E76" s="3" t="s">
        <v>11</v>
      </c>
      <c r="F76" s="7">
        <v>44954</v>
      </c>
      <c r="G76" s="2">
        <v>168</v>
      </c>
      <c r="H76" s="2">
        <v>2.6</v>
      </c>
    </row>
    <row r="77" spans="2:8" x14ac:dyDescent="0.25">
      <c r="B77" s="2" t="s">
        <v>99</v>
      </c>
      <c r="C77" s="2" t="s">
        <v>5</v>
      </c>
      <c r="D77" s="2">
        <v>114</v>
      </c>
      <c r="E77" s="3" t="s">
        <v>6</v>
      </c>
      <c r="F77" s="7">
        <v>44956</v>
      </c>
      <c r="G77" s="2">
        <v>42</v>
      </c>
      <c r="H77" s="2">
        <v>2.6</v>
      </c>
    </row>
    <row r="78" spans="2:8" x14ac:dyDescent="0.25">
      <c r="B78" s="2" t="s">
        <v>100</v>
      </c>
      <c r="C78" s="2" t="s">
        <v>23</v>
      </c>
      <c r="D78" s="2">
        <v>42</v>
      </c>
      <c r="E78" s="3" t="s">
        <v>11</v>
      </c>
      <c r="F78" s="7">
        <v>44956</v>
      </c>
      <c r="G78" s="2">
        <v>205</v>
      </c>
      <c r="H78" s="2">
        <v>3.6</v>
      </c>
    </row>
    <row r="79" spans="2:8" x14ac:dyDescent="0.25">
      <c r="B79" s="2" t="s">
        <v>101</v>
      </c>
      <c r="C79" s="2" t="s">
        <v>8</v>
      </c>
      <c r="D79" s="2">
        <v>69</v>
      </c>
      <c r="E79" s="3" t="s">
        <v>6</v>
      </c>
      <c r="F79" s="7">
        <v>44956</v>
      </c>
      <c r="G79" s="2">
        <v>108</v>
      </c>
      <c r="H79" s="2">
        <v>3.3</v>
      </c>
    </row>
    <row r="80" spans="2:8" x14ac:dyDescent="0.25">
      <c r="B80" s="2" t="s">
        <v>102</v>
      </c>
      <c r="C80" s="2" t="s">
        <v>18</v>
      </c>
      <c r="D80" s="2">
        <v>145</v>
      </c>
      <c r="E80" s="3" t="s">
        <v>9</v>
      </c>
      <c r="F80" s="7">
        <v>44956</v>
      </c>
      <c r="G80" s="2">
        <v>78</v>
      </c>
      <c r="H80" s="2">
        <v>1.9</v>
      </c>
    </row>
    <row r="81" spans="2:8" x14ac:dyDescent="0.25">
      <c r="B81" s="2" t="s">
        <v>103</v>
      </c>
      <c r="C81" s="2" t="s">
        <v>12</v>
      </c>
      <c r="D81" s="2">
        <v>43</v>
      </c>
      <c r="E81" s="3" t="s">
        <v>6</v>
      </c>
      <c r="F81" s="7">
        <v>44956</v>
      </c>
      <c r="G81" s="2">
        <v>23</v>
      </c>
      <c r="H81" s="2">
        <v>4.9000000000000004</v>
      </c>
    </row>
    <row r="82" spans="2:8" x14ac:dyDescent="0.25">
      <c r="B82" s="2" t="s">
        <v>104</v>
      </c>
      <c r="C82" s="2" t="s">
        <v>8</v>
      </c>
      <c r="D82" s="2">
        <v>62</v>
      </c>
      <c r="E82" s="3" t="s">
        <v>10</v>
      </c>
      <c r="F82" s="7">
        <v>44957</v>
      </c>
      <c r="G82" s="2">
        <v>99</v>
      </c>
      <c r="H82" s="2">
        <v>3.6</v>
      </c>
    </row>
    <row r="83" spans="2:8" x14ac:dyDescent="0.25">
      <c r="B83" s="2" t="s">
        <v>105</v>
      </c>
      <c r="C83" s="2" t="s">
        <v>22</v>
      </c>
      <c r="D83" s="2">
        <v>79</v>
      </c>
      <c r="E83" s="3" t="s">
        <v>6</v>
      </c>
      <c r="F83" s="7">
        <v>44958</v>
      </c>
      <c r="G83" s="2">
        <v>148</v>
      </c>
      <c r="H83" s="2">
        <v>4.5</v>
      </c>
    </row>
    <row r="84" spans="2:8" x14ac:dyDescent="0.25">
      <c r="B84" s="2" t="s">
        <v>106</v>
      </c>
      <c r="C84" s="2" t="s">
        <v>18</v>
      </c>
      <c r="D84" s="2">
        <v>45</v>
      </c>
      <c r="E84" s="3" t="s">
        <v>13</v>
      </c>
      <c r="F84" s="7">
        <v>44958</v>
      </c>
      <c r="G84" s="2">
        <v>34</v>
      </c>
      <c r="H84" s="2">
        <v>3.7</v>
      </c>
    </row>
    <row r="85" spans="2:8" x14ac:dyDescent="0.25">
      <c r="B85" s="2" t="s">
        <v>107</v>
      </c>
      <c r="C85" s="2" t="s">
        <v>8</v>
      </c>
      <c r="D85" s="2">
        <v>137</v>
      </c>
      <c r="E85" s="3" t="s">
        <v>6</v>
      </c>
      <c r="F85" s="7">
        <v>44958</v>
      </c>
      <c r="G85" s="2">
        <v>86</v>
      </c>
      <c r="H85" s="2">
        <v>4.8</v>
      </c>
    </row>
    <row r="86" spans="2:8" x14ac:dyDescent="0.25">
      <c r="B86" s="2" t="s">
        <v>108</v>
      </c>
      <c r="C86" s="2" t="s">
        <v>5</v>
      </c>
      <c r="D86" s="2">
        <v>109</v>
      </c>
      <c r="E86" s="3" t="s">
        <v>10</v>
      </c>
      <c r="F86" s="7">
        <v>44958</v>
      </c>
      <c r="G86" s="2">
        <v>105</v>
      </c>
      <c r="H86" s="2">
        <v>3.3</v>
      </c>
    </row>
    <row r="87" spans="2:8" x14ac:dyDescent="0.25">
      <c r="B87" s="2" t="s">
        <v>109</v>
      </c>
      <c r="C87" s="2" t="s">
        <v>12</v>
      </c>
      <c r="D87" s="2">
        <v>78</v>
      </c>
      <c r="E87" s="3" t="s">
        <v>10</v>
      </c>
      <c r="F87" s="7">
        <v>44958</v>
      </c>
      <c r="G87" s="2">
        <v>62</v>
      </c>
      <c r="H87" s="2">
        <v>3.1</v>
      </c>
    </row>
    <row r="88" spans="2:8" x14ac:dyDescent="0.25">
      <c r="B88" s="2" t="s">
        <v>110</v>
      </c>
      <c r="C88" s="2" t="s">
        <v>8</v>
      </c>
      <c r="D88" s="2">
        <v>137</v>
      </c>
      <c r="E88" s="3" t="s">
        <v>13</v>
      </c>
      <c r="F88" s="7">
        <v>44958</v>
      </c>
      <c r="G88" s="2">
        <v>90</v>
      </c>
      <c r="H88" s="2">
        <v>4.0999999999999996</v>
      </c>
    </row>
    <row r="89" spans="2:8" x14ac:dyDescent="0.25">
      <c r="B89" s="2" t="s">
        <v>111</v>
      </c>
      <c r="C89" s="2" t="s">
        <v>21</v>
      </c>
      <c r="D89" s="2">
        <v>99</v>
      </c>
      <c r="E89" s="3" t="s">
        <v>10</v>
      </c>
      <c r="F89" s="7">
        <v>44959</v>
      </c>
      <c r="G89" s="2">
        <v>112</v>
      </c>
      <c r="H89" s="2">
        <v>4.9000000000000004</v>
      </c>
    </row>
    <row r="90" spans="2:8" x14ac:dyDescent="0.25">
      <c r="B90" s="2" t="s">
        <v>112</v>
      </c>
      <c r="C90" s="2" t="s">
        <v>19</v>
      </c>
      <c r="D90" s="2">
        <v>100</v>
      </c>
      <c r="E90" s="3" t="s">
        <v>10</v>
      </c>
      <c r="F90" s="7">
        <v>44959</v>
      </c>
      <c r="G90" s="2">
        <v>135</v>
      </c>
      <c r="H90" s="2">
        <v>4</v>
      </c>
    </row>
    <row r="91" spans="2:8" x14ac:dyDescent="0.25">
      <c r="B91" s="2" t="s">
        <v>113</v>
      </c>
      <c r="C91" s="2" t="s">
        <v>12</v>
      </c>
      <c r="D91" s="2">
        <v>47</v>
      </c>
      <c r="E91" s="3" t="s">
        <v>9</v>
      </c>
      <c r="F91" s="7">
        <v>44959</v>
      </c>
      <c r="G91" s="2">
        <v>34</v>
      </c>
      <c r="H91" s="2">
        <v>2.1</v>
      </c>
    </row>
    <row r="92" spans="2:8" x14ac:dyDescent="0.25">
      <c r="B92" s="2" t="s">
        <v>114</v>
      </c>
      <c r="C92" s="2" t="s">
        <v>5</v>
      </c>
      <c r="D92" s="2">
        <v>87</v>
      </c>
      <c r="E92" s="3" t="s">
        <v>11</v>
      </c>
      <c r="F92" s="7">
        <v>44959</v>
      </c>
      <c r="G92" s="2">
        <v>155</v>
      </c>
      <c r="H92" s="2">
        <v>4.5</v>
      </c>
    </row>
    <row r="93" spans="2:8" x14ac:dyDescent="0.25">
      <c r="B93" s="2" t="s">
        <v>115</v>
      </c>
      <c r="C93" s="2" t="s">
        <v>21</v>
      </c>
      <c r="D93" s="2">
        <v>143</v>
      </c>
      <c r="E93" s="3" t="s">
        <v>11</v>
      </c>
      <c r="F93" s="7">
        <v>44961</v>
      </c>
      <c r="G93" s="2">
        <v>124</v>
      </c>
      <c r="H93" s="2">
        <v>4.9000000000000004</v>
      </c>
    </row>
    <row r="94" spans="2:8" x14ac:dyDescent="0.25">
      <c r="B94" s="2" t="s">
        <v>116</v>
      </c>
      <c r="C94" s="2" t="s">
        <v>19</v>
      </c>
      <c r="D94" s="2">
        <v>84</v>
      </c>
      <c r="E94" s="3" t="s">
        <v>10</v>
      </c>
      <c r="F94" s="7">
        <v>44961</v>
      </c>
      <c r="G94" s="2">
        <v>195</v>
      </c>
      <c r="H94" s="2">
        <v>4.0999999999999996</v>
      </c>
    </row>
    <row r="95" spans="2:8" x14ac:dyDescent="0.25">
      <c r="B95" s="2" t="s">
        <v>117</v>
      </c>
      <c r="C95" s="2" t="s">
        <v>17</v>
      </c>
      <c r="D95" s="2">
        <v>55</v>
      </c>
      <c r="E95" s="3" t="s">
        <v>11</v>
      </c>
      <c r="F95" s="7">
        <v>44962</v>
      </c>
      <c r="G95" s="2">
        <v>78</v>
      </c>
      <c r="H95" s="2">
        <v>4.5</v>
      </c>
    </row>
    <row r="96" spans="2:8" x14ac:dyDescent="0.25">
      <c r="B96" s="2" t="s">
        <v>118</v>
      </c>
      <c r="C96" s="2" t="s">
        <v>15</v>
      </c>
      <c r="D96" s="2">
        <v>135</v>
      </c>
      <c r="E96" s="3" t="s">
        <v>13</v>
      </c>
      <c r="F96" s="7">
        <v>44964</v>
      </c>
      <c r="G96" s="2">
        <v>35</v>
      </c>
      <c r="H96" s="2">
        <v>4.8</v>
      </c>
    </row>
    <row r="97" spans="2:8" x14ac:dyDescent="0.25">
      <c r="B97" s="2" t="s">
        <v>119</v>
      </c>
      <c r="C97" s="2" t="s">
        <v>16</v>
      </c>
      <c r="D97" s="2">
        <v>152</v>
      </c>
      <c r="E97" s="3" t="s">
        <v>9</v>
      </c>
      <c r="F97" s="7">
        <v>44964</v>
      </c>
      <c r="G97" s="2">
        <v>123</v>
      </c>
      <c r="H97" s="2">
        <v>4.5999999999999996</v>
      </c>
    </row>
    <row r="98" spans="2:8" x14ac:dyDescent="0.25">
      <c r="B98" s="2" t="s">
        <v>120</v>
      </c>
      <c r="C98" s="2" t="s">
        <v>23</v>
      </c>
      <c r="D98" s="2">
        <v>132</v>
      </c>
      <c r="E98" s="3" t="s">
        <v>9</v>
      </c>
      <c r="F98" s="7">
        <v>44964</v>
      </c>
      <c r="G98" s="2">
        <v>43</v>
      </c>
      <c r="H98" s="2">
        <v>4.5999999999999996</v>
      </c>
    </row>
    <row r="99" spans="2:8" x14ac:dyDescent="0.25">
      <c r="B99" s="2" t="s">
        <v>121</v>
      </c>
      <c r="C99" s="2" t="s">
        <v>7</v>
      </c>
      <c r="D99" s="2">
        <v>60</v>
      </c>
      <c r="E99" s="3" t="s">
        <v>10</v>
      </c>
      <c r="F99" s="7">
        <v>44965</v>
      </c>
      <c r="G99" s="2">
        <v>69</v>
      </c>
      <c r="H99" s="2">
        <v>4.3</v>
      </c>
    </row>
    <row r="100" spans="2:8" x14ac:dyDescent="0.25">
      <c r="B100" s="2" t="s">
        <v>122</v>
      </c>
      <c r="C100" s="2" t="s">
        <v>16</v>
      </c>
      <c r="D100" s="2">
        <v>95</v>
      </c>
      <c r="E100" s="3" t="s">
        <v>9</v>
      </c>
      <c r="F100" s="7">
        <v>44965</v>
      </c>
      <c r="G100" s="2">
        <v>130</v>
      </c>
      <c r="H100" s="2">
        <v>5</v>
      </c>
    </row>
    <row r="101" spans="2:8" x14ac:dyDescent="0.25">
      <c r="B101" s="2" t="s">
        <v>123</v>
      </c>
      <c r="C101" s="2" t="s">
        <v>20</v>
      </c>
      <c r="D101" s="2">
        <v>96</v>
      </c>
      <c r="E101" s="3" t="s">
        <v>6</v>
      </c>
      <c r="F101" s="7">
        <v>44965</v>
      </c>
      <c r="G101" s="2">
        <v>120</v>
      </c>
      <c r="H101" s="2">
        <v>4</v>
      </c>
    </row>
    <row r="102" spans="2:8" x14ac:dyDescent="0.25">
      <c r="B102" s="2" t="s">
        <v>124</v>
      </c>
      <c r="C102" s="2" t="s">
        <v>17</v>
      </c>
      <c r="D102" s="2">
        <v>45</v>
      </c>
      <c r="E102" s="3" t="s">
        <v>10</v>
      </c>
      <c r="F102" s="7">
        <v>44966</v>
      </c>
      <c r="G102" s="2">
        <v>84</v>
      </c>
      <c r="H102" s="2">
        <v>4.5999999999999996</v>
      </c>
    </row>
    <row r="103" spans="2:8" x14ac:dyDescent="0.25">
      <c r="B103" s="2" t="s">
        <v>125</v>
      </c>
      <c r="C103" s="2" t="s">
        <v>20</v>
      </c>
      <c r="D103" s="2">
        <v>132</v>
      </c>
      <c r="E103" s="3" t="s">
        <v>6</v>
      </c>
      <c r="F103" s="7">
        <v>44967</v>
      </c>
      <c r="G103" s="2">
        <v>112</v>
      </c>
      <c r="H103" s="2">
        <v>4.5</v>
      </c>
    </row>
    <row r="104" spans="2:8" x14ac:dyDescent="0.25">
      <c r="B104" s="2" t="s">
        <v>126</v>
      </c>
      <c r="C104" s="2" t="s">
        <v>14</v>
      </c>
      <c r="D104" s="2">
        <v>95</v>
      </c>
      <c r="E104" s="3" t="s">
        <v>10</v>
      </c>
      <c r="F104" s="7">
        <v>44967</v>
      </c>
      <c r="G104" s="2">
        <v>66</v>
      </c>
      <c r="H104" s="2">
        <v>4.5999999999999996</v>
      </c>
    </row>
    <row r="105" spans="2:8" x14ac:dyDescent="0.25">
      <c r="B105" s="2" t="s">
        <v>127</v>
      </c>
      <c r="C105" s="2" t="s">
        <v>16</v>
      </c>
      <c r="D105" s="2">
        <v>131</v>
      </c>
      <c r="E105" s="3" t="s">
        <v>11</v>
      </c>
      <c r="F105" s="7">
        <v>44967</v>
      </c>
      <c r="G105" s="2">
        <v>172</v>
      </c>
      <c r="H105" s="2">
        <v>2.6</v>
      </c>
    </row>
    <row r="106" spans="2:8" x14ac:dyDescent="0.25">
      <c r="B106" s="2" t="s">
        <v>128</v>
      </c>
      <c r="C106" s="2" t="s">
        <v>22</v>
      </c>
      <c r="D106" s="2">
        <v>67</v>
      </c>
      <c r="E106" s="3" t="s">
        <v>13</v>
      </c>
      <c r="F106" s="7">
        <v>44968</v>
      </c>
      <c r="G106" s="2">
        <v>24</v>
      </c>
      <c r="H106" s="2">
        <v>4.3</v>
      </c>
    </row>
    <row r="107" spans="2:8" x14ac:dyDescent="0.25">
      <c r="B107" s="2" t="s">
        <v>129</v>
      </c>
      <c r="C107" s="2" t="s">
        <v>21</v>
      </c>
      <c r="D107" s="2">
        <v>111</v>
      </c>
      <c r="E107" s="3" t="s">
        <v>11</v>
      </c>
      <c r="F107" s="7">
        <v>44969</v>
      </c>
      <c r="G107" s="2">
        <v>43</v>
      </c>
      <c r="H107" s="2">
        <v>3.9</v>
      </c>
    </row>
    <row r="108" spans="2:8" x14ac:dyDescent="0.25">
      <c r="B108" s="2" t="s">
        <v>130</v>
      </c>
      <c r="C108" s="2" t="s">
        <v>23</v>
      </c>
      <c r="D108" s="2">
        <v>78</v>
      </c>
      <c r="E108" s="3" t="s">
        <v>9</v>
      </c>
      <c r="F108" s="7">
        <v>44969</v>
      </c>
      <c r="G108" s="2">
        <v>23</v>
      </c>
      <c r="H108" s="2">
        <v>5</v>
      </c>
    </row>
    <row r="109" spans="2:8" x14ac:dyDescent="0.25">
      <c r="B109" s="2" t="s">
        <v>131</v>
      </c>
      <c r="C109" s="2" t="s">
        <v>24</v>
      </c>
      <c r="D109" s="2">
        <v>28</v>
      </c>
      <c r="E109" s="3" t="s">
        <v>6</v>
      </c>
      <c r="F109" s="7">
        <v>44969</v>
      </c>
      <c r="G109" s="2">
        <v>74</v>
      </c>
      <c r="H109" s="2">
        <v>3.5</v>
      </c>
    </row>
    <row r="110" spans="2:8" x14ac:dyDescent="0.25">
      <c r="B110" s="2" t="s">
        <v>132</v>
      </c>
      <c r="C110" s="2" t="s">
        <v>12</v>
      </c>
      <c r="D110" s="2">
        <v>127</v>
      </c>
      <c r="E110" s="3" t="s">
        <v>13</v>
      </c>
      <c r="F110" s="7">
        <v>44970</v>
      </c>
      <c r="G110" s="2">
        <v>165</v>
      </c>
      <c r="H110" s="2">
        <v>4.7</v>
      </c>
    </row>
    <row r="111" spans="2:8" x14ac:dyDescent="0.25">
      <c r="B111" s="2" t="s">
        <v>133</v>
      </c>
      <c r="C111" s="2" t="s">
        <v>19</v>
      </c>
      <c r="D111" s="2">
        <v>137</v>
      </c>
      <c r="E111" s="3" t="s">
        <v>11</v>
      </c>
      <c r="F111" s="7">
        <v>44970</v>
      </c>
      <c r="G111" s="2">
        <v>34</v>
      </c>
      <c r="H111" s="2">
        <v>2.9</v>
      </c>
    </row>
    <row r="112" spans="2:8" x14ac:dyDescent="0.25">
      <c r="B112" s="2" t="s">
        <v>134</v>
      </c>
      <c r="C112" s="2" t="s">
        <v>12</v>
      </c>
      <c r="D112" s="2">
        <v>76</v>
      </c>
      <c r="E112" s="3" t="s">
        <v>6</v>
      </c>
      <c r="F112" s="7">
        <v>44970</v>
      </c>
      <c r="G112" s="2">
        <v>64</v>
      </c>
      <c r="H112" s="2">
        <v>3.4</v>
      </c>
    </row>
    <row r="113" spans="2:8" x14ac:dyDescent="0.25">
      <c r="B113" s="2" t="s">
        <v>135</v>
      </c>
      <c r="C113" s="2" t="s">
        <v>23</v>
      </c>
      <c r="D113" s="2">
        <v>80</v>
      </c>
      <c r="E113" s="3" t="s">
        <v>13</v>
      </c>
      <c r="F113" s="7">
        <v>44971</v>
      </c>
      <c r="G113" s="2">
        <v>155</v>
      </c>
      <c r="H113" s="2">
        <v>3.2</v>
      </c>
    </row>
    <row r="114" spans="2:8" x14ac:dyDescent="0.25">
      <c r="B114" s="2" t="s">
        <v>136</v>
      </c>
      <c r="C114" s="2" t="s">
        <v>12</v>
      </c>
      <c r="D114" s="2">
        <v>95</v>
      </c>
      <c r="E114" s="3" t="s">
        <v>9</v>
      </c>
      <c r="F114" s="7">
        <v>44972</v>
      </c>
      <c r="G114" s="2">
        <v>120</v>
      </c>
      <c r="H114" s="2">
        <v>4.8</v>
      </c>
    </row>
    <row r="115" spans="2:8" x14ac:dyDescent="0.25">
      <c r="B115" s="2" t="s">
        <v>137</v>
      </c>
      <c r="C115" s="2" t="s">
        <v>7</v>
      </c>
      <c r="D115" s="2">
        <v>30</v>
      </c>
      <c r="E115" s="3" t="s">
        <v>6</v>
      </c>
      <c r="F115" s="7">
        <v>44972</v>
      </c>
      <c r="G115" s="2">
        <v>105</v>
      </c>
      <c r="H115" s="2">
        <v>3.6</v>
      </c>
    </row>
    <row r="116" spans="2:8" x14ac:dyDescent="0.25">
      <c r="B116" s="2" t="s">
        <v>138</v>
      </c>
      <c r="C116" s="2" t="s">
        <v>8</v>
      </c>
      <c r="D116" s="2">
        <v>19</v>
      </c>
      <c r="E116" s="3" t="s">
        <v>11</v>
      </c>
      <c r="F116" s="7">
        <v>44972</v>
      </c>
      <c r="G116" s="2">
        <v>28</v>
      </c>
      <c r="H116" s="2">
        <v>4.9000000000000004</v>
      </c>
    </row>
    <row r="117" spans="2:8" x14ac:dyDescent="0.25">
      <c r="B117" s="2" t="s">
        <v>139</v>
      </c>
      <c r="C117" s="2" t="s">
        <v>18</v>
      </c>
      <c r="D117" s="2">
        <v>38</v>
      </c>
      <c r="E117" s="3" t="s">
        <v>13</v>
      </c>
      <c r="F117" s="7">
        <v>44972</v>
      </c>
      <c r="G117" s="2">
        <v>100</v>
      </c>
      <c r="H117" s="2">
        <v>4.8</v>
      </c>
    </row>
    <row r="118" spans="2:8" x14ac:dyDescent="0.25">
      <c r="B118" s="2" t="s">
        <v>140</v>
      </c>
      <c r="C118" s="2" t="s">
        <v>14</v>
      </c>
      <c r="D118" s="2">
        <v>55</v>
      </c>
      <c r="E118" s="3" t="s">
        <v>11</v>
      </c>
      <c r="F118" s="7">
        <v>44972</v>
      </c>
      <c r="G118" s="2">
        <v>23</v>
      </c>
      <c r="H118" s="2">
        <v>3.6</v>
      </c>
    </row>
    <row r="119" spans="2:8" x14ac:dyDescent="0.25">
      <c r="B119" s="2" t="s">
        <v>141</v>
      </c>
      <c r="C119" s="2" t="s">
        <v>22</v>
      </c>
      <c r="D119" s="2">
        <v>27</v>
      </c>
      <c r="E119" s="3" t="s">
        <v>6</v>
      </c>
      <c r="F119" s="7">
        <v>44973</v>
      </c>
      <c r="G119" s="2">
        <v>70</v>
      </c>
      <c r="H119" s="2">
        <v>3.9</v>
      </c>
    </row>
    <row r="120" spans="2:8" x14ac:dyDescent="0.25">
      <c r="B120" s="2" t="s">
        <v>142</v>
      </c>
      <c r="C120" s="2" t="s">
        <v>22</v>
      </c>
      <c r="D120" s="2">
        <v>32</v>
      </c>
      <c r="E120" s="3" t="s">
        <v>6</v>
      </c>
      <c r="F120" s="7">
        <v>44973</v>
      </c>
      <c r="G120" s="2">
        <v>37</v>
      </c>
      <c r="H120" s="2">
        <v>1.9</v>
      </c>
    </row>
    <row r="121" spans="2:8" x14ac:dyDescent="0.25">
      <c r="B121" s="2" t="s">
        <v>143</v>
      </c>
      <c r="C121" s="2" t="s">
        <v>24</v>
      </c>
      <c r="D121" s="2">
        <v>116</v>
      </c>
      <c r="E121" s="3" t="s">
        <v>10</v>
      </c>
      <c r="F121" s="7">
        <v>44973</v>
      </c>
      <c r="G121" s="2">
        <v>140</v>
      </c>
      <c r="H121" s="2">
        <v>3.6</v>
      </c>
    </row>
    <row r="122" spans="2:8" x14ac:dyDescent="0.25">
      <c r="B122" s="2" t="s">
        <v>144</v>
      </c>
      <c r="C122" s="2" t="s">
        <v>20</v>
      </c>
      <c r="D122" s="2">
        <v>99</v>
      </c>
      <c r="E122" s="3" t="s">
        <v>9</v>
      </c>
      <c r="F122" s="7">
        <v>44973</v>
      </c>
      <c r="G122" s="2">
        <v>78</v>
      </c>
      <c r="H122" s="2">
        <v>4.0999999999999996</v>
      </c>
    </row>
    <row r="123" spans="2:8" x14ac:dyDescent="0.25">
      <c r="B123" s="2" t="s">
        <v>145</v>
      </c>
      <c r="C123" s="2" t="s">
        <v>12</v>
      </c>
      <c r="D123" s="2">
        <v>75</v>
      </c>
      <c r="E123" s="3" t="s">
        <v>6</v>
      </c>
      <c r="F123" s="7">
        <v>44974</v>
      </c>
      <c r="G123" s="2">
        <v>21</v>
      </c>
      <c r="H123" s="2">
        <v>4.2</v>
      </c>
    </row>
    <row r="124" spans="2:8" x14ac:dyDescent="0.25">
      <c r="B124" s="2" t="s">
        <v>146</v>
      </c>
      <c r="C124" s="2" t="s">
        <v>23</v>
      </c>
      <c r="D124" s="2">
        <v>57</v>
      </c>
      <c r="E124" s="3" t="s">
        <v>10</v>
      </c>
      <c r="F124" s="7">
        <v>44974</v>
      </c>
      <c r="G124" s="2">
        <v>88</v>
      </c>
      <c r="H124" s="2">
        <v>4.3</v>
      </c>
    </row>
    <row r="125" spans="2:8" x14ac:dyDescent="0.25">
      <c r="B125" s="2" t="s">
        <v>147</v>
      </c>
      <c r="C125" s="2" t="s">
        <v>15</v>
      </c>
      <c r="D125" s="2">
        <v>155</v>
      </c>
      <c r="E125" s="3" t="s">
        <v>10</v>
      </c>
      <c r="F125" s="7">
        <v>44975</v>
      </c>
      <c r="G125" s="2">
        <v>180</v>
      </c>
      <c r="H125" s="2">
        <v>2.2000000000000002</v>
      </c>
    </row>
    <row r="126" spans="2:8" x14ac:dyDescent="0.25">
      <c r="B126" s="2" t="s">
        <v>148</v>
      </c>
      <c r="C126" s="2" t="s">
        <v>20</v>
      </c>
      <c r="D126" s="2">
        <v>68</v>
      </c>
      <c r="E126" s="3" t="s">
        <v>9</v>
      </c>
      <c r="F126" s="7">
        <v>44975</v>
      </c>
      <c r="G126" s="2">
        <v>22</v>
      </c>
      <c r="H126" s="2">
        <v>3.3</v>
      </c>
    </row>
    <row r="127" spans="2:8" x14ac:dyDescent="0.25">
      <c r="B127" s="2" t="s">
        <v>149</v>
      </c>
      <c r="C127" s="2" t="s">
        <v>18</v>
      </c>
      <c r="D127" s="2">
        <v>95</v>
      </c>
      <c r="E127" s="3" t="s">
        <v>9</v>
      </c>
      <c r="F127" s="7">
        <v>44975</v>
      </c>
      <c r="G127" s="2">
        <v>52</v>
      </c>
      <c r="H127" s="2">
        <v>4.8</v>
      </c>
    </row>
    <row r="128" spans="2:8" x14ac:dyDescent="0.25">
      <c r="B128" s="2" t="s">
        <v>150</v>
      </c>
      <c r="C128" s="2" t="s">
        <v>19</v>
      </c>
      <c r="D128" s="2">
        <v>65</v>
      </c>
      <c r="E128" s="3" t="s">
        <v>10</v>
      </c>
      <c r="F128" s="7">
        <v>44976</v>
      </c>
      <c r="G128" s="2">
        <v>80</v>
      </c>
      <c r="H128" s="2">
        <v>4</v>
      </c>
    </row>
    <row r="129" spans="2:8" x14ac:dyDescent="0.25">
      <c r="B129" s="2" t="s">
        <v>151</v>
      </c>
      <c r="C129" s="2" t="s">
        <v>8</v>
      </c>
      <c r="D129" s="2">
        <v>114</v>
      </c>
      <c r="E129" s="3" t="s">
        <v>11</v>
      </c>
      <c r="F129" s="7">
        <v>44976</v>
      </c>
      <c r="G129" s="2">
        <v>54</v>
      </c>
      <c r="H129" s="2">
        <v>1.1000000000000001</v>
      </c>
    </row>
    <row r="130" spans="2:8" x14ac:dyDescent="0.25">
      <c r="B130" s="2" t="s">
        <v>152</v>
      </c>
      <c r="C130" s="2" t="s">
        <v>12</v>
      </c>
      <c r="D130" s="2">
        <v>155</v>
      </c>
      <c r="E130" s="3" t="s">
        <v>11</v>
      </c>
      <c r="F130" s="7">
        <v>44977</v>
      </c>
      <c r="G130" s="2">
        <v>80</v>
      </c>
      <c r="H130" s="2">
        <v>3.9</v>
      </c>
    </row>
    <row r="131" spans="2:8" x14ac:dyDescent="0.25">
      <c r="B131" s="2" t="s">
        <v>153</v>
      </c>
      <c r="C131" s="2" t="s">
        <v>19</v>
      </c>
      <c r="D131" s="2">
        <v>114</v>
      </c>
      <c r="E131" s="3" t="s">
        <v>10</v>
      </c>
      <c r="F131" s="7">
        <v>44978</v>
      </c>
      <c r="G131" s="2">
        <v>120</v>
      </c>
      <c r="H131" s="2">
        <v>1.8</v>
      </c>
    </row>
    <row r="132" spans="2:8" x14ac:dyDescent="0.25">
      <c r="B132" s="2" t="s">
        <v>154</v>
      </c>
      <c r="C132" s="2" t="s">
        <v>15</v>
      </c>
      <c r="D132" s="2">
        <v>130</v>
      </c>
      <c r="E132" s="3" t="s">
        <v>13</v>
      </c>
      <c r="F132" s="7">
        <v>44978</v>
      </c>
      <c r="G132" s="2">
        <v>150</v>
      </c>
      <c r="H132" s="2">
        <v>1</v>
      </c>
    </row>
    <row r="133" spans="2:8" x14ac:dyDescent="0.25">
      <c r="B133" s="2" t="s">
        <v>155</v>
      </c>
      <c r="C133" s="2" t="s">
        <v>12</v>
      </c>
      <c r="D133" s="2">
        <v>89</v>
      </c>
      <c r="E133" s="3" t="s">
        <v>10</v>
      </c>
      <c r="F133" s="7">
        <v>44978</v>
      </c>
      <c r="G133" s="2">
        <v>90</v>
      </c>
      <c r="H133" s="2">
        <v>4.3</v>
      </c>
    </row>
    <row r="134" spans="2:8" x14ac:dyDescent="0.25">
      <c r="B134" s="2" t="s">
        <v>156</v>
      </c>
      <c r="C134" s="2" t="s">
        <v>17</v>
      </c>
      <c r="D134" s="2">
        <v>61</v>
      </c>
      <c r="E134" s="3" t="s">
        <v>6</v>
      </c>
      <c r="F134" s="7">
        <v>44979</v>
      </c>
      <c r="G134" s="2">
        <v>140</v>
      </c>
      <c r="H134" s="2">
        <v>3.4</v>
      </c>
    </row>
    <row r="135" spans="2:8" x14ac:dyDescent="0.25">
      <c r="B135" s="2" t="s">
        <v>157</v>
      </c>
      <c r="C135" s="2" t="s">
        <v>18</v>
      </c>
      <c r="D135" s="2">
        <v>154</v>
      </c>
      <c r="E135" s="3" t="s">
        <v>11</v>
      </c>
      <c r="F135" s="7">
        <v>44979</v>
      </c>
      <c r="G135" s="2">
        <v>22</v>
      </c>
      <c r="H135" s="2">
        <v>3.4</v>
      </c>
    </row>
    <row r="136" spans="2:8" x14ac:dyDescent="0.25">
      <c r="B136" s="2" t="s">
        <v>158</v>
      </c>
      <c r="C136" s="2" t="s">
        <v>19</v>
      </c>
      <c r="D136" s="2">
        <v>115</v>
      </c>
      <c r="E136" s="3" t="s">
        <v>13</v>
      </c>
      <c r="F136" s="7">
        <v>44980</v>
      </c>
      <c r="G136" s="2">
        <v>150</v>
      </c>
      <c r="H136" s="2">
        <v>4.0999999999999996</v>
      </c>
    </row>
    <row r="137" spans="2:8" x14ac:dyDescent="0.25">
      <c r="B137" s="2" t="s">
        <v>159</v>
      </c>
      <c r="C137" s="2" t="s">
        <v>5</v>
      </c>
      <c r="D137" s="2">
        <v>138</v>
      </c>
      <c r="E137" s="3" t="s">
        <v>9</v>
      </c>
      <c r="F137" s="7">
        <v>44981</v>
      </c>
      <c r="G137" s="2">
        <v>35</v>
      </c>
      <c r="H137" s="2">
        <v>4.8</v>
      </c>
    </row>
    <row r="138" spans="2:8" x14ac:dyDescent="0.25">
      <c r="B138" s="2" t="s">
        <v>160</v>
      </c>
      <c r="C138" s="2" t="s">
        <v>21</v>
      </c>
      <c r="D138" s="2">
        <v>153</v>
      </c>
      <c r="E138" s="3" t="s">
        <v>10</v>
      </c>
      <c r="F138" s="7">
        <v>44981</v>
      </c>
      <c r="G138" s="2">
        <v>200</v>
      </c>
      <c r="H138" s="2">
        <v>2</v>
      </c>
    </row>
    <row r="139" spans="2:8" x14ac:dyDescent="0.25">
      <c r="B139" s="2" t="s">
        <v>161</v>
      </c>
      <c r="C139" s="2" t="s">
        <v>19</v>
      </c>
      <c r="D139" s="2">
        <v>61</v>
      </c>
      <c r="E139" s="3" t="s">
        <v>6</v>
      </c>
      <c r="F139" s="7">
        <v>44982</v>
      </c>
      <c r="G139" s="2">
        <v>150</v>
      </c>
      <c r="H139" s="2">
        <v>4.5999999999999996</v>
      </c>
    </row>
    <row r="140" spans="2:8" x14ac:dyDescent="0.25">
      <c r="B140" s="2" t="s">
        <v>162</v>
      </c>
      <c r="C140" s="2" t="s">
        <v>22</v>
      </c>
      <c r="D140" s="2">
        <v>62</v>
      </c>
      <c r="E140" s="3" t="s">
        <v>10</v>
      </c>
      <c r="F140" s="7">
        <v>44982</v>
      </c>
      <c r="G140" s="2">
        <v>21</v>
      </c>
      <c r="H140" s="2">
        <v>2.6</v>
      </c>
    </row>
    <row r="141" spans="2:8" x14ac:dyDescent="0.25">
      <c r="B141" s="2" t="s">
        <v>163</v>
      </c>
      <c r="C141" s="2" t="s">
        <v>17</v>
      </c>
      <c r="D141" s="2">
        <v>151</v>
      </c>
      <c r="E141" s="3" t="s">
        <v>13</v>
      </c>
      <c r="F141" s="7">
        <v>44983</v>
      </c>
      <c r="G141" s="2">
        <v>46</v>
      </c>
      <c r="H141" s="2">
        <v>4.9000000000000004</v>
      </c>
    </row>
    <row r="142" spans="2:8" x14ac:dyDescent="0.25">
      <c r="B142" s="2" t="s">
        <v>164</v>
      </c>
      <c r="C142" s="2" t="s">
        <v>16</v>
      </c>
      <c r="D142" s="2">
        <v>102</v>
      </c>
      <c r="E142" s="3" t="s">
        <v>11</v>
      </c>
      <c r="F142" s="7">
        <v>44983</v>
      </c>
      <c r="G142" s="2">
        <v>165</v>
      </c>
      <c r="H142" s="2">
        <v>2.7</v>
      </c>
    </row>
    <row r="143" spans="2:8" x14ac:dyDescent="0.25">
      <c r="B143" s="2" t="s">
        <v>165</v>
      </c>
      <c r="C143" s="2" t="s">
        <v>7</v>
      </c>
      <c r="D143" s="2">
        <v>64</v>
      </c>
      <c r="E143" s="3" t="s">
        <v>10</v>
      </c>
      <c r="F143" s="7">
        <v>44983</v>
      </c>
      <c r="G143" s="2">
        <v>84</v>
      </c>
      <c r="H143" s="2">
        <v>4.0999999999999996</v>
      </c>
    </row>
    <row r="144" spans="2:8" x14ac:dyDescent="0.25">
      <c r="B144" s="2" t="s">
        <v>166</v>
      </c>
      <c r="C144" s="2" t="s">
        <v>12</v>
      </c>
      <c r="D144" s="2">
        <v>6</v>
      </c>
      <c r="E144" s="3" t="s">
        <v>11</v>
      </c>
      <c r="F144" s="7">
        <v>44984</v>
      </c>
      <c r="G144" s="2">
        <v>102</v>
      </c>
      <c r="H144" s="2">
        <v>4.4000000000000004</v>
      </c>
    </row>
    <row r="145" spans="2:8" x14ac:dyDescent="0.25">
      <c r="B145" s="2" t="s">
        <v>167</v>
      </c>
      <c r="C145" s="2" t="s">
        <v>7</v>
      </c>
      <c r="D145" s="2">
        <v>129</v>
      </c>
      <c r="E145" s="3" t="s">
        <v>10</v>
      </c>
      <c r="F145" s="7">
        <v>44984</v>
      </c>
      <c r="G145" s="2">
        <v>180</v>
      </c>
      <c r="H145" s="2">
        <v>4.8</v>
      </c>
    </row>
    <row r="146" spans="2:8" x14ac:dyDescent="0.25">
      <c r="B146" s="2" t="s">
        <v>168</v>
      </c>
      <c r="C146" s="2" t="s">
        <v>22</v>
      </c>
      <c r="D146" s="2">
        <v>42</v>
      </c>
      <c r="E146" s="3" t="s">
        <v>13</v>
      </c>
      <c r="F146" s="7">
        <v>44985</v>
      </c>
      <c r="G146" s="2">
        <v>111</v>
      </c>
      <c r="H146" s="2">
        <v>3</v>
      </c>
    </row>
    <row r="147" spans="2:8" x14ac:dyDescent="0.25">
      <c r="B147" s="2" t="s">
        <v>169</v>
      </c>
      <c r="C147" s="2" t="s">
        <v>22</v>
      </c>
      <c r="D147" s="2">
        <v>71</v>
      </c>
      <c r="E147" s="3" t="s">
        <v>6</v>
      </c>
      <c r="F147" s="7">
        <v>44985</v>
      </c>
      <c r="G147" s="2">
        <v>104</v>
      </c>
      <c r="H147" s="2">
        <v>3.1</v>
      </c>
    </row>
    <row r="148" spans="2:8" x14ac:dyDescent="0.25">
      <c r="B148" s="2" t="s">
        <v>170</v>
      </c>
      <c r="C148" s="2" t="s">
        <v>23</v>
      </c>
      <c r="D148" s="2">
        <v>53</v>
      </c>
      <c r="E148" s="3" t="s">
        <v>11</v>
      </c>
      <c r="F148" s="7">
        <v>44985</v>
      </c>
      <c r="G148" s="2">
        <v>80</v>
      </c>
      <c r="H148" s="2">
        <v>2.6</v>
      </c>
    </row>
    <row r="149" spans="2:8" x14ac:dyDescent="0.25">
      <c r="B149" s="2" t="s">
        <v>171</v>
      </c>
      <c r="C149" s="2" t="s">
        <v>8</v>
      </c>
      <c r="D149" s="2">
        <v>155</v>
      </c>
      <c r="E149" s="3" t="s">
        <v>6</v>
      </c>
      <c r="F149" s="7">
        <v>44986</v>
      </c>
      <c r="G149" s="2">
        <v>132</v>
      </c>
      <c r="H149" s="2">
        <v>4.5999999999999996</v>
      </c>
    </row>
    <row r="150" spans="2:8" x14ac:dyDescent="0.25">
      <c r="B150" s="2" t="s">
        <v>172</v>
      </c>
      <c r="C150" s="2" t="s">
        <v>8</v>
      </c>
      <c r="D150" s="2">
        <v>90</v>
      </c>
      <c r="E150" s="3" t="s">
        <v>13</v>
      </c>
      <c r="F150" s="7">
        <v>44986</v>
      </c>
      <c r="G150" s="2">
        <v>170</v>
      </c>
      <c r="H150" s="2">
        <v>3.7</v>
      </c>
    </row>
    <row r="151" spans="2:8" x14ac:dyDescent="0.25">
      <c r="B151" s="2" t="s">
        <v>173</v>
      </c>
      <c r="C151" s="2" t="s">
        <v>7</v>
      </c>
      <c r="D151" s="2">
        <v>166</v>
      </c>
      <c r="E151" s="3" t="s">
        <v>9</v>
      </c>
      <c r="F151" s="7">
        <v>44986</v>
      </c>
      <c r="G151" s="2">
        <v>36</v>
      </c>
      <c r="H151" s="2">
        <v>3.8</v>
      </c>
    </row>
    <row r="152" spans="2:8" x14ac:dyDescent="0.25">
      <c r="B152" s="2" t="s">
        <v>174</v>
      </c>
      <c r="C152" s="2" t="s">
        <v>24</v>
      </c>
      <c r="D152" s="2">
        <v>89</v>
      </c>
      <c r="E152" s="3" t="s">
        <v>6</v>
      </c>
      <c r="F152" s="7">
        <v>44986</v>
      </c>
      <c r="G152" s="2">
        <v>126</v>
      </c>
      <c r="H152" s="2">
        <v>3.6</v>
      </c>
    </row>
    <row r="153" spans="2:8" x14ac:dyDescent="0.25">
      <c r="B153" s="2" t="s">
        <v>175</v>
      </c>
      <c r="C153" s="2" t="s">
        <v>19</v>
      </c>
      <c r="D153" s="2">
        <v>152</v>
      </c>
      <c r="E153" s="3" t="s">
        <v>11</v>
      </c>
      <c r="F153" s="7">
        <v>44986</v>
      </c>
      <c r="G153" s="2">
        <v>215</v>
      </c>
      <c r="H153" s="2">
        <v>4.4000000000000004</v>
      </c>
    </row>
    <row r="154" spans="2:8" x14ac:dyDescent="0.25">
      <c r="B154" s="2" t="s">
        <v>176</v>
      </c>
      <c r="C154" s="2" t="s">
        <v>24</v>
      </c>
      <c r="D154" s="2">
        <v>137</v>
      </c>
      <c r="E154" s="3" t="s">
        <v>13</v>
      </c>
      <c r="F154" s="7">
        <v>44986</v>
      </c>
      <c r="G154" s="2">
        <v>114</v>
      </c>
      <c r="H154" s="2">
        <v>3.2</v>
      </c>
    </row>
    <row r="155" spans="2:8" x14ac:dyDescent="0.25">
      <c r="B155" s="2" t="s">
        <v>177</v>
      </c>
      <c r="C155" s="2" t="s">
        <v>24</v>
      </c>
      <c r="D155" s="2">
        <v>43</v>
      </c>
      <c r="E155" s="3" t="s">
        <v>13</v>
      </c>
      <c r="F155" s="7">
        <v>44986</v>
      </c>
      <c r="G155" s="2">
        <v>99</v>
      </c>
      <c r="H155" s="2">
        <v>4.7</v>
      </c>
    </row>
    <row r="156" spans="2:8" x14ac:dyDescent="0.25">
      <c r="B156" s="2" t="s">
        <v>178</v>
      </c>
      <c r="C156" s="2" t="s">
        <v>18</v>
      </c>
      <c r="D156" s="2">
        <v>114</v>
      </c>
      <c r="E156" s="3" t="s">
        <v>13</v>
      </c>
      <c r="F156" s="7">
        <v>44987</v>
      </c>
      <c r="G156" s="2">
        <v>23</v>
      </c>
      <c r="H156" s="2">
        <v>4.8</v>
      </c>
    </row>
    <row r="157" spans="2:8" x14ac:dyDescent="0.25">
      <c r="B157" s="2" t="s">
        <v>179</v>
      </c>
      <c r="C157" s="2" t="s">
        <v>21</v>
      </c>
      <c r="D157" s="2">
        <v>103</v>
      </c>
      <c r="E157" s="3" t="s">
        <v>6</v>
      </c>
      <c r="F157" s="7">
        <v>44987</v>
      </c>
      <c r="G157" s="2">
        <v>75</v>
      </c>
      <c r="H157" s="2">
        <v>2.7</v>
      </c>
    </row>
    <row r="158" spans="2:8" x14ac:dyDescent="0.25">
      <c r="B158" s="2" t="s">
        <v>180</v>
      </c>
      <c r="C158" s="2" t="s">
        <v>24</v>
      </c>
      <c r="D158" s="2">
        <v>98</v>
      </c>
      <c r="E158" s="3" t="s">
        <v>11</v>
      </c>
      <c r="F158" s="7">
        <v>44987</v>
      </c>
      <c r="G158" s="2">
        <v>100</v>
      </c>
      <c r="H158" s="2">
        <v>3.8</v>
      </c>
    </row>
    <row r="159" spans="2:8" x14ac:dyDescent="0.25">
      <c r="B159" s="2" t="s">
        <v>181</v>
      </c>
      <c r="C159" s="2" t="s">
        <v>7</v>
      </c>
      <c r="D159" s="2">
        <v>106</v>
      </c>
      <c r="E159" s="3" t="s">
        <v>9</v>
      </c>
      <c r="F159" s="7">
        <v>44987</v>
      </c>
      <c r="G159" s="2">
        <v>108</v>
      </c>
      <c r="H159" s="2">
        <v>4.3</v>
      </c>
    </row>
    <row r="160" spans="2:8" x14ac:dyDescent="0.25">
      <c r="B160" s="2" t="s">
        <v>182</v>
      </c>
      <c r="C160" s="2" t="s">
        <v>12</v>
      </c>
      <c r="D160" s="2">
        <v>96</v>
      </c>
      <c r="E160" s="3" t="s">
        <v>9</v>
      </c>
      <c r="F160" s="7">
        <v>44987</v>
      </c>
      <c r="G160" s="2">
        <v>108</v>
      </c>
      <c r="H160" s="2">
        <v>5</v>
      </c>
    </row>
    <row r="161" spans="2:8" x14ac:dyDescent="0.25">
      <c r="B161" s="2" t="s">
        <v>183</v>
      </c>
      <c r="C161" s="2" t="s">
        <v>21</v>
      </c>
      <c r="D161" s="2">
        <v>70</v>
      </c>
      <c r="E161" s="3" t="s">
        <v>9</v>
      </c>
      <c r="F161" s="7">
        <v>44987</v>
      </c>
      <c r="G161" s="2">
        <v>28</v>
      </c>
      <c r="H161" s="2">
        <v>4.8</v>
      </c>
    </row>
    <row r="162" spans="2:8" x14ac:dyDescent="0.25">
      <c r="B162" s="2" t="s">
        <v>184</v>
      </c>
      <c r="C162" s="2" t="s">
        <v>22</v>
      </c>
      <c r="D162" s="2">
        <v>86</v>
      </c>
      <c r="E162" s="3" t="s">
        <v>10</v>
      </c>
      <c r="F162" s="7">
        <v>44988</v>
      </c>
      <c r="G162" s="2">
        <v>70</v>
      </c>
      <c r="H162" s="2">
        <v>4.9000000000000004</v>
      </c>
    </row>
    <row r="163" spans="2:8" x14ac:dyDescent="0.25">
      <c r="B163" s="2" t="s">
        <v>185</v>
      </c>
      <c r="C163" s="2" t="s">
        <v>23</v>
      </c>
      <c r="D163" s="2">
        <v>64</v>
      </c>
      <c r="E163" s="3" t="s">
        <v>10</v>
      </c>
      <c r="F163" s="7">
        <v>44988</v>
      </c>
      <c r="G163" s="2">
        <v>172</v>
      </c>
      <c r="H163" s="2">
        <v>4.0999999999999996</v>
      </c>
    </row>
    <row r="164" spans="2:8" x14ac:dyDescent="0.25">
      <c r="B164" s="2" t="s">
        <v>186</v>
      </c>
      <c r="C164" s="2" t="s">
        <v>12</v>
      </c>
      <c r="D164" s="2">
        <v>113</v>
      </c>
      <c r="E164" s="3" t="s">
        <v>11</v>
      </c>
      <c r="F164" s="7">
        <v>44988</v>
      </c>
      <c r="G164" s="2">
        <v>123</v>
      </c>
      <c r="H164" s="2">
        <v>4.4000000000000004</v>
      </c>
    </row>
    <row r="165" spans="2:8" x14ac:dyDescent="0.25">
      <c r="B165" s="2" t="s">
        <v>187</v>
      </c>
      <c r="C165" s="2" t="s">
        <v>12</v>
      </c>
      <c r="D165" s="2">
        <v>21</v>
      </c>
      <c r="E165" s="3" t="s">
        <v>9</v>
      </c>
      <c r="F165" s="7">
        <v>44988</v>
      </c>
      <c r="G165" s="2">
        <v>93</v>
      </c>
      <c r="H165" s="2">
        <v>3.4</v>
      </c>
    </row>
    <row r="166" spans="2:8" x14ac:dyDescent="0.25">
      <c r="B166" s="2" t="s">
        <v>188</v>
      </c>
      <c r="C166" s="2" t="s">
        <v>16</v>
      </c>
      <c r="D166" s="2">
        <v>107</v>
      </c>
      <c r="E166" s="3" t="s">
        <v>10</v>
      </c>
      <c r="F166" s="7">
        <v>44988</v>
      </c>
      <c r="G166" s="2">
        <v>66</v>
      </c>
      <c r="H166" s="2">
        <v>4</v>
      </c>
    </row>
    <row r="167" spans="2:8" x14ac:dyDescent="0.25">
      <c r="B167" s="2" t="s">
        <v>189</v>
      </c>
      <c r="C167" s="2" t="s">
        <v>16</v>
      </c>
      <c r="D167" s="2">
        <v>131</v>
      </c>
      <c r="E167" s="3" t="s">
        <v>9</v>
      </c>
      <c r="F167" s="7">
        <v>44988</v>
      </c>
      <c r="G167" s="2">
        <v>39</v>
      </c>
      <c r="H167" s="2">
        <v>2.4</v>
      </c>
    </row>
    <row r="168" spans="2:8" x14ac:dyDescent="0.25">
      <c r="B168" s="2" t="s">
        <v>190</v>
      </c>
      <c r="C168" s="2" t="s">
        <v>20</v>
      </c>
      <c r="D168" s="2">
        <v>11</v>
      </c>
      <c r="E168" s="3" t="s">
        <v>6</v>
      </c>
      <c r="F168" s="7">
        <v>44988</v>
      </c>
      <c r="G168" s="2">
        <v>25</v>
      </c>
      <c r="H168" s="2">
        <v>2.1</v>
      </c>
    </row>
    <row r="169" spans="2:8" x14ac:dyDescent="0.25">
      <c r="B169" s="2" t="s">
        <v>191</v>
      </c>
      <c r="C169" s="2" t="s">
        <v>17</v>
      </c>
      <c r="D169" s="2">
        <v>86</v>
      </c>
      <c r="E169" s="3" t="s">
        <v>11</v>
      </c>
      <c r="F169" s="7">
        <v>44988</v>
      </c>
      <c r="G169" s="2">
        <v>68</v>
      </c>
      <c r="H169" s="2">
        <v>3</v>
      </c>
    </row>
    <row r="170" spans="2:8" x14ac:dyDescent="0.25">
      <c r="B170" s="2" t="s">
        <v>192</v>
      </c>
      <c r="C170" s="2" t="s">
        <v>23</v>
      </c>
      <c r="D170" s="2">
        <v>28</v>
      </c>
      <c r="E170" s="3" t="s">
        <v>6</v>
      </c>
      <c r="F170" s="7">
        <v>44988</v>
      </c>
      <c r="G170" s="2">
        <v>84</v>
      </c>
      <c r="H170" s="2">
        <v>3.2</v>
      </c>
    </row>
    <row r="171" spans="2:8" x14ac:dyDescent="0.25">
      <c r="B171" s="2" t="s">
        <v>193</v>
      </c>
      <c r="C171" s="2" t="s">
        <v>8</v>
      </c>
      <c r="D171" s="2">
        <v>139</v>
      </c>
      <c r="E171" s="3" t="s">
        <v>9</v>
      </c>
      <c r="F171" s="7">
        <v>44989</v>
      </c>
      <c r="G171" s="2">
        <v>88</v>
      </c>
      <c r="H171" s="2">
        <v>3.4</v>
      </c>
    </row>
    <row r="172" spans="2:8" x14ac:dyDescent="0.25">
      <c r="B172" s="2" t="s">
        <v>194</v>
      </c>
      <c r="C172" s="2" t="s">
        <v>7</v>
      </c>
      <c r="D172" s="2">
        <v>82</v>
      </c>
      <c r="E172" s="3" t="s">
        <v>11</v>
      </c>
      <c r="F172" s="7">
        <v>44989</v>
      </c>
      <c r="G172" s="2">
        <v>93</v>
      </c>
      <c r="H172" s="2">
        <v>2.7</v>
      </c>
    </row>
    <row r="173" spans="2:8" x14ac:dyDescent="0.25">
      <c r="B173" s="2" t="s">
        <v>195</v>
      </c>
      <c r="C173" s="2" t="s">
        <v>12</v>
      </c>
      <c r="D173" s="2">
        <v>101</v>
      </c>
      <c r="E173" s="3" t="s">
        <v>6</v>
      </c>
      <c r="F173" s="7">
        <v>44989</v>
      </c>
      <c r="G173" s="2">
        <v>128</v>
      </c>
      <c r="H173" s="2">
        <v>5</v>
      </c>
    </row>
    <row r="174" spans="2:8" x14ac:dyDescent="0.25">
      <c r="B174" s="2" t="s">
        <v>196</v>
      </c>
      <c r="C174" s="2" t="s">
        <v>23</v>
      </c>
      <c r="D174" s="2">
        <v>75</v>
      </c>
      <c r="E174" s="3" t="s">
        <v>13</v>
      </c>
      <c r="F174" s="7">
        <v>44989</v>
      </c>
      <c r="G174" s="2">
        <v>40</v>
      </c>
      <c r="H174" s="2">
        <v>3.4</v>
      </c>
    </row>
    <row r="175" spans="2:8" x14ac:dyDescent="0.25">
      <c r="B175" s="2" t="s">
        <v>197</v>
      </c>
      <c r="C175" s="2" t="s">
        <v>18</v>
      </c>
      <c r="D175" s="2">
        <v>40</v>
      </c>
      <c r="E175" s="3" t="s">
        <v>6</v>
      </c>
      <c r="F175" s="7">
        <v>44990</v>
      </c>
      <c r="G175" s="2">
        <v>92</v>
      </c>
      <c r="H175" s="2">
        <v>4.7</v>
      </c>
    </row>
    <row r="176" spans="2:8" x14ac:dyDescent="0.25">
      <c r="B176" s="2" t="s">
        <v>198</v>
      </c>
      <c r="C176" s="2" t="s">
        <v>24</v>
      </c>
      <c r="D176" s="2">
        <v>86</v>
      </c>
      <c r="E176" s="3" t="s">
        <v>9</v>
      </c>
      <c r="F176" s="7">
        <v>44990</v>
      </c>
      <c r="G176" s="2">
        <v>27</v>
      </c>
      <c r="H176" s="2">
        <v>4.5</v>
      </c>
    </row>
    <row r="177" spans="2:8" x14ac:dyDescent="0.25">
      <c r="B177" s="2" t="s">
        <v>199</v>
      </c>
      <c r="C177" s="2" t="s">
        <v>15</v>
      </c>
      <c r="D177" s="2">
        <v>131</v>
      </c>
      <c r="E177" s="3" t="s">
        <v>10</v>
      </c>
      <c r="F177" s="7">
        <v>44990</v>
      </c>
      <c r="G177" s="2">
        <v>140</v>
      </c>
      <c r="H177" s="2">
        <v>4.0999999999999996</v>
      </c>
    </row>
    <row r="178" spans="2:8" x14ac:dyDescent="0.25">
      <c r="B178" s="2" t="s">
        <v>200</v>
      </c>
      <c r="C178" s="2" t="s">
        <v>16</v>
      </c>
      <c r="D178" s="2">
        <v>67</v>
      </c>
      <c r="E178" s="3" t="s">
        <v>11</v>
      </c>
      <c r="F178" s="7">
        <v>44990</v>
      </c>
      <c r="G178" s="2">
        <v>40</v>
      </c>
      <c r="H178" s="2">
        <v>5</v>
      </c>
    </row>
    <row r="179" spans="2:8" x14ac:dyDescent="0.25">
      <c r="B179" s="2" t="s">
        <v>201</v>
      </c>
      <c r="C179" s="2" t="s">
        <v>5</v>
      </c>
      <c r="D179" s="2">
        <v>71</v>
      </c>
      <c r="E179" s="3" t="s">
        <v>6</v>
      </c>
      <c r="F179" s="7">
        <v>44990</v>
      </c>
      <c r="G179" s="2">
        <v>102</v>
      </c>
      <c r="H179" s="2">
        <v>4.7</v>
      </c>
    </row>
    <row r="180" spans="2:8" x14ac:dyDescent="0.25">
      <c r="B180" s="2" t="s">
        <v>202</v>
      </c>
      <c r="C180" s="2" t="s">
        <v>15</v>
      </c>
      <c r="D180" s="2">
        <v>113</v>
      </c>
      <c r="E180" s="3" t="s">
        <v>10</v>
      </c>
      <c r="F180" s="7">
        <v>44990</v>
      </c>
      <c r="G180" s="2">
        <v>42</v>
      </c>
      <c r="H180" s="2">
        <v>4.2</v>
      </c>
    </row>
    <row r="181" spans="2:8" x14ac:dyDescent="0.25">
      <c r="B181" s="2" t="s">
        <v>203</v>
      </c>
      <c r="C181" s="2" t="s">
        <v>7</v>
      </c>
      <c r="D181" s="2">
        <v>53</v>
      </c>
      <c r="E181" s="3" t="s">
        <v>9</v>
      </c>
      <c r="F181" s="7">
        <v>44991</v>
      </c>
      <c r="G181" s="2">
        <v>210</v>
      </c>
      <c r="H181" s="2">
        <v>3.9</v>
      </c>
    </row>
    <row r="182" spans="2:8" x14ac:dyDescent="0.25">
      <c r="B182" s="2" t="s">
        <v>204</v>
      </c>
      <c r="C182" s="2" t="s">
        <v>15</v>
      </c>
      <c r="D182" s="2">
        <v>153</v>
      </c>
      <c r="E182" s="3" t="s">
        <v>11</v>
      </c>
      <c r="F182" s="7">
        <v>44991</v>
      </c>
      <c r="G182" s="2">
        <v>34</v>
      </c>
      <c r="H182" s="2">
        <v>3</v>
      </c>
    </row>
    <row r="183" spans="2:8" x14ac:dyDescent="0.25">
      <c r="B183" s="2" t="s">
        <v>205</v>
      </c>
      <c r="C183" s="2" t="s">
        <v>16</v>
      </c>
      <c r="D183" s="2">
        <v>73</v>
      </c>
      <c r="E183" s="3" t="s">
        <v>13</v>
      </c>
      <c r="F183" s="7">
        <v>44991</v>
      </c>
      <c r="G183" s="2">
        <v>215</v>
      </c>
      <c r="H183" s="2">
        <v>3.6</v>
      </c>
    </row>
    <row r="184" spans="2:8" x14ac:dyDescent="0.25">
      <c r="B184" s="2" t="s">
        <v>206</v>
      </c>
      <c r="C184" s="2" t="s">
        <v>22</v>
      </c>
      <c r="D184" s="2">
        <v>62</v>
      </c>
      <c r="E184" s="3" t="s">
        <v>13</v>
      </c>
      <c r="F184" s="7">
        <v>44991</v>
      </c>
      <c r="G184" s="2">
        <v>32</v>
      </c>
      <c r="H184" s="2">
        <v>0.7</v>
      </c>
    </row>
    <row r="185" spans="2:8" x14ac:dyDescent="0.25">
      <c r="B185" s="2" t="s">
        <v>207</v>
      </c>
      <c r="C185" s="2" t="s">
        <v>8</v>
      </c>
      <c r="D185" s="2">
        <v>115</v>
      </c>
      <c r="E185" s="3" t="s">
        <v>9</v>
      </c>
      <c r="F185" s="7">
        <v>44992</v>
      </c>
      <c r="G185" s="2">
        <v>48</v>
      </c>
      <c r="H185" s="2">
        <v>4.7</v>
      </c>
    </row>
    <row r="186" spans="2:8" x14ac:dyDescent="0.25">
      <c r="B186" s="2" t="s">
        <v>208</v>
      </c>
      <c r="C186" s="2" t="s">
        <v>15</v>
      </c>
      <c r="D186" s="2">
        <v>69</v>
      </c>
      <c r="E186" s="3" t="s">
        <v>9</v>
      </c>
      <c r="F186" s="7">
        <v>44992</v>
      </c>
      <c r="G186" s="2">
        <v>132</v>
      </c>
      <c r="H186" s="2">
        <v>4.5</v>
      </c>
    </row>
    <row r="187" spans="2:8" x14ac:dyDescent="0.25">
      <c r="B187" s="2" t="s">
        <v>209</v>
      </c>
      <c r="C187" s="2" t="s">
        <v>24</v>
      </c>
      <c r="D187" s="2">
        <v>103</v>
      </c>
      <c r="E187" s="3" t="s">
        <v>10</v>
      </c>
      <c r="F187" s="7">
        <v>44992</v>
      </c>
      <c r="G187" s="2">
        <v>172</v>
      </c>
      <c r="H187" s="2">
        <v>4.3</v>
      </c>
    </row>
    <row r="188" spans="2:8" x14ac:dyDescent="0.25">
      <c r="B188" s="2" t="s">
        <v>210</v>
      </c>
      <c r="C188" s="2" t="s">
        <v>24</v>
      </c>
      <c r="D188" s="2">
        <v>75</v>
      </c>
      <c r="E188" s="3" t="s">
        <v>10</v>
      </c>
      <c r="F188" s="7">
        <v>44992</v>
      </c>
      <c r="G188" s="2">
        <v>111</v>
      </c>
      <c r="H188" s="2">
        <v>3.4</v>
      </c>
    </row>
    <row r="189" spans="2:8" x14ac:dyDescent="0.25">
      <c r="B189" s="2" t="s">
        <v>211</v>
      </c>
      <c r="C189" s="2" t="s">
        <v>14</v>
      </c>
      <c r="D189" s="2">
        <v>92</v>
      </c>
      <c r="E189" s="3" t="s">
        <v>10</v>
      </c>
      <c r="F189" s="7">
        <v>44992</v>
      </c>
      <c r="G189" s="2">
        <v>58</v>
      </c>
      <c r="H189" s="2">
        <v>3.6</v>
      </c>
    </row>
    <row r="190" spans="2:8" x14ac:dyDescent="0.25">
      <c r="B190" s="2" t="s">
        <v>212</v>
      </c>
      <c r="C190" s="2" t="s">
        <v>14</v>
      </c>
      <c r="D190" s="2">
        <v>41</v>
      </c>
      <c r="E190" s="3" t="s">
        <v>13</v>
      </c>
      <c r="F190" s="7">
        <v>44992</v>
      </c>
      <c r="G190" s="2">
        <v>68</v>
      </c>
      <c r="H190" s="2">
        <v>4</v>
      </c>
    </row>
    <row r="191" spans="2:8" x14ac:dyDescent="0.25">
      <c r="B191" s="2" t="s">
        <v>213</v>
      </c>
      <c r="C191" s="2" t="s">
        <v>24</v>
      </c>
      <c r="D191" s="2">
        <v>134</v>
      </c>
      <c r="E191" s="3" t="s">
        <v>11</v>
      </c>
      <c r="F191" s="7">
        <v>44992</v>
      </c>
      <c r="G191" s="2">
        <v>160</v>
      </c>
      <c r="H191" s="2">
        <v>4.5</v>
      </c>
    </row>
    <row r="192" spans="2:8" x14ac:dyDescent="0.25">
      <c r="B192" s="2" t="s">
        <v>214</v>
      </c>
      <c r="C192" s="2" t="s">
        <v>17</v>
      </c>
      <c r="D192" s="2">
        <v>80</v>
      </c>
      <c r="E192" s="3" t="s">
        <v>6</v>
      </c>
      <c r="F192" s="7">
        <v>44992</v>
      </c>
      <c r="G192" s="2">
        <v>45</v>
      </c>
      <c r="H192" s="2">
        <v>3</v>
      </c>
    </row>
    <row r="193" spans="2:8" x14ac:dyDescent="0.25">
      <c r="B193" s="2" t="s">
        <v>215</v>
      </c>
      <c r="C193" s="2" t="s">
        <v>5</v>
      </c>
      <c r="D193" s="2">
        <v>103</v>
      </c>
      <c r="E193" s="3" t="s">
        <v>9</v>
      </c>
      <c r="F193" s="7">
        <v>44993</v>
      </c>
      <c r="G193" s="2">
        <v>117</v>
      </c>
      <c r="H193" s="2">
        <v>3</v>
      </c>
    </row>
    <row r="194" spans="2:8" x14ac:dyDescent="0.25">
      <c r="B194" s="2" t="s">
        <v>216</v>
      </c>
      <c r="C194" s="2" t="s">
        <v>7</v>
      </c>
      <c r="D194" s="2">
        <v>20</v>
      </c>
      <c r="E194" s="3" t="s">
        <v>10</v>
      </c>
      <c r="F194" s="7">
        <v>44994</v>
      </c>
      <c r="G194" s="2">
        <v>22</v>
      </c>
      <c r="H194" s="2">
        <v>1.6</v>
      </c>
    </row>
    <row r="195" spans="2:8" x14ac:dyDescent="0.25">
      <c r="B195" s="2" t="s">
        <v>217</v>
      </c>
      <c r="C195" s="2" t="s">
        <v>5</v>
      </c>
      <c r="D195" s="2">
        <v>75</v>
      </c>
      <c r="E195" s="3" t="s">
        <v>6</v>
      </c>
      <c r="F195" s="7">
        <v>44994</v>
      </c>
      <c r="G195" s="2">
        <v>195</v>
      </c>
      <c r="H195" s="2">
        <v>3</v>
      </c>
    </row>
    <row r="196" spans="2:8" x14ac:dyDescent="0.25">
      <c r="B196" s="2" t="s">
        <v>218</v>
      </c>
      <c r="C196" s="2" t="s">
        <v>14</v>
      </c>
      <c r="D196" s="2">
        <v>80</v>
      </c>
      <c r="E196" s="3" t="s">
        <v>11</v>
      </c>
      <c r="F196" s="7">
        <v>44994</v>
      </c>
      <c r="G196" s="2">
        <v>168</v>
      </c>
      <c r="H196" s="2">
        <v>3.7</v>
      </c>
    </row>
    <row r="197" spans="2:8" x14ac:dyDescent="0.25">
      <c r="B197" s="2" t="s">
        <v>219</v>
      </c>
      <c r="C197" s="2" t="s">
        <v>15</v>
      </c>
      <c r="D197" s="2">
        <v>85</v>
      </c>
      <c r="E197" s="3" t="s">
        <v>13</v>
      </c>
      <c r="F197" s="7">
        <v>44995</v>
      </c>
      <c r="G197" s="2">
        <v>46</v>
      </c>
      <c r="H197" s="2">
        <v>4.9000000000000004</v>
      </c>
    </row>
    <row r="198" spans="2:8" x14ac:dyDescent="0.25">
      <c r="B198" s="2" t="s">
        <v>220</v>
      </c>
      <c r="C198" s="2" t="s">
        <v>12</v>
      </c>
      <c r="D198" s="2">
        <v>155</v>
      </c>
      <c r="E198" s="3" t="s">
        <v>10</v>
      </c>
      <c r="F198" s="7">
        <v>44995</v>
      </c>
      <c r="G198" s="2">
        <v>164</v>
      </c>
      <c r="H198" s="2">
        <v>3.4</v>
      </c>
    </row>
    <row r="199" spans="2:8" x14ac:dyDescent="0.25">
      <c r="B199" s="2" t="s">
        <v>221</v>
      </c>
      <c r="C199" s="2" t="s">
        <v>15</v>
      </c>
      <c r="D199" s="2">
        <v>63</v>
      </c>
      <c r="E199" s="3" t="s">
        <v>13</v>
      </c>
      <c r="F199" s="7">
        <v>44995</v>
      </c>
      <c r="G199" s="2">
        <v>48</v>
      </c>
      <c r="H199" s="2">
        <v>5</v>
      </c>
    </row>
    <row r="200" spans="2:8" x14ac:dyDescent="0.25">
      <c r="B200" s="2" t="s">
        <v>222</v>
      </c>
      <c r="C200" s="2" t="s">
        <v>23</v>
      </c>
      <c r="D200" s="2">
        <v>105</v>
      </c>
      <c r="E200" s="3" t="s">
        <v>9</v>
      </c>
      <c r="F200" s="7">
        <v>44995</v>
      </c>
      <c r="G200" s="2">
        <v>96</v>
      </c>
      <c r="H200" s="2">
        <v>5</v>
      </c>
    </row>
    <row r="201" spans="2:8" x14ac:dyDescent="0.25">
      <c r="B201" s="2" t="s">
        <v>223</v>
      </c>
      <c r="C201" s="2" t="s">
        <v>15</v>
      </c>
      <c r="D201" s="2">
        <v>71</v>
      </c>
      <c r="E201" s="3" t="s">
        <v>13</v>
      </c>
      <c r="F201" s="7">
        <v>44995</v>
      </c>
      <c r="G201" s="2">
        <v>105</v>
      </c>
      <c r="H201" s="2">
        <v>4</v>
      </c>
    </row>
    <row r="202" spans="2:8" x14ac:dyDescent="0.25">
      <c r="B202" s="2" t="s">
        <v>224</v>
      </c>
      <c r="C202" s="2" t="s">
        <v>12</v>
      </c>
      <c r="D202" s="2">
        <v>100</v>
      </c>
      <c r="E202" s="3" t="s">
        <v>13</v>
      </c>
      <c r="F202" s="7">
        <v>44996</v>
      </c>
      <c r="G202" s="2">
        <v>44</v>
      </c>
      <c r="H202" s="2">
        <v>3.6</v>
      </c>
    </row>
    <row r="203" spans="2:8" x14ac:dyDescent="0.25">
      <c r="B203" s="2" t="s">
        <v>225</v>
      </c>
      <c r="C203" s="2" t="s">
        <v>20</v>
      </c>
      <c r="D203" s="2">
        <v>93</v>
      </c>
      <c r="E203" s="3" t="s">
        <v>11</v>
      </c>
      <c r="F203" s="7">
        <v>44996</v>
      </c>
      <c r="G203" s="2">
        <v>132</v>
      </c>
      <c r="H203" s="2">
        <v>3.7</v>
      </c>
    </row>
    <row r="204" spans="2:8" x14ac:dyDescent="0.25">
      <c r="B204" s="2" t="s">
        <v>226</v>
      </c>
      <c r="C204" s="2" t="s">
        <v>23</v>
      </c>
      <c r="D204" s="2">
        <v>84</v>
      </c>
      <c r="E204" s="3" t="s">
        <v>10</v>
      </c>
      <c r="F204" s="7">
        <v>44996</v>
      </c>
      <c r="G204" s="2">
        <v>54</v>
      </c>
      <c r="H204" s="2">
        <v>4.2</v>
      </c>
    </row>
    <row r="205" spans="2:8" x14ac:dyDescent="0.25">
      <c r="B205" s="2" t="s">
        <v>227</v>
      </c>
      <c r="C205" s="2" t="s">
        <v>17</v>
      </c>
      <c r="D205" s="2">
        <v>56</v>
      </c>
      <c r="E205" s="3" t="s">
        <v>6</v>
      </c>
      <c r="F205" s="7">
        <v>44996</v>
      </c>
      <c r="G205" s="2">
        <v>129</v>
      </c>
      <c r="H205" s="2">
        <v>2.1</v>
      </c>
    </row>
    <row r="206" spans="2:8" x14ac:dyDescent="0.25">
      <c r="B206" s="2" t="s">
        <v>228</v>
      </c>
      <c r="C206" s="2" t="s">
        <v>17</v>
      </c>
      <c r="D206" s="2">
        <v>63</v>
      </c>
      <c r="E206" s="3" t="s">
        <v>13</v>
      </c>
      <c r="F206" s="7">
        <v>44996</v>
      </c>
      <c r="G206" s="2">
        <v>42</v>
      </c>
      <c r="H206" s="2">
        <v>4</v>
      </c>
    </row>
    <row r="207" spans="2:8" x14ac:dyDescent="0.25">
      <c r="B207" s="2" t="s">
        <v>229</v>
      </c>
      <c r="C207" s="2" t="s">
        <v>22</v>
      </c>
      <c r="D207" s="2">
        <v>83</v>
      </c>
      <c r="E207" s="3" t="s">
        <v>13</v>
      </c>
      <c r="F207" s="7">
        <v>44996</v>
      </c>
      <c r="G207" s="2">
        <v>42</v>
      </c>
      <c r="H207" s="2">
        <v>4.2</v>
      </c>
    </row>
    <row r="208" spans="2:8" x14ac:dyDescent="0.25">
      <c r="B208" s="2" t="s">
        <v>230</v>
      </c>
      <c r="C208" s="2" t="s">
        <v>14</v>
      </c>
      <c r="D208" s="2">
        <v>134</v>
      </c>
      <c r="E208" s="3" t="s">
        <v>10</v>
      </c>
      <c r="F208" s="7">
        <v>44996</v>
      </c>
      <c r="G208" s="2">
        <v>180</v>
      </c>
      <c r="H208" s="2">
        <v>3.1</v>
      </c>
    </row>
    <row r="209" spans="2:8" x14ac:dyDescent="0.25">
      <c r="B209" s="2" t="s">
        <v>231</v>
      </c>
      <c r="C209" s="2" t="s">
        <v>8</v>
      </c>
      <c r="D209" s="2">
        <v>73</v>
      </c>
      <c r="E209" s="3" t="s">
        <v>13</v>
      </c>
      <c r="F209" s="7">
        <v>44997</v>
      </c>
      <c r="G209" s="2">
        <v>34</v>
      </c>
      <c r="H209" s="2">
        <v>4.8</v>
      </c>
    </row>
    <row r="210" spans="2:8" x14ac:dyDescent="0.25">
      <c r="B210" s="2" t="s">
        <v>232</v>
      </c>
      <c r="C210" s="2" t="s">
        <v>5</v>
      </c>
      <c r="D210" s="2">
        <v>6</v>
      </c>
      <c r="E210" s="3" t="s">
        <v>6</v>
      </c>
      <c r="F210" s="7">
        <v>44997</v>
      </c>
      <c r="G210" s="2">
        <v>29</v>
      </c>
      <c r="H210" s="2">
        <v>4.7</v>
      </c>
    </row>
    <row r="211" spans="2:8" x14ac:dyDescent="0.25">
      <c r="B211" s="2" t="s">
        <v>233</v>
      </c>
      <c r="C211" s="2" t="s">
        <v>16</v>
      </c>
      <c r="D211" s="2">
        <v>46</v>
      </c>
      <c r="E211" s="3" t="s">
        <v>9</v>
      </c>
      <c r="F211" s="7">
        <v>44997</v>
      </c>
      <c r="G211" s="2">
        <v>165</v>
      </c>
      <c r="H211" s="2">
        <v>3.3</v>
      </c>
    </row>
    <row r="212" spans="2:8" x14ac:dyDescent="0.25">
      <c r="B212" s="2" t="s">
        <v>234</v>
      </c>
      <c r="C212" s="2" t="s">
        <v>5</v>
      </c>
      <c r="D212" s="2">
        <v>121</v>
      </c>
      <c r="E212" s="3" t="s">
        <v>13</v>
      </c>
      <c r="F212" s="7">
        <v>44998</v>
      </c>
      <c r="G212" s="2">
        <v>32</v>
      </c>
      <c r="H212" s="2">
        <v>3.7</v>
      </c>
    </row>
    <row r="213" spans="2:8" x14ac:dyDescent="0.25">
      <c r="B213" s="2" t="s">
        <v>235</v>
      </c>
      <c r="C213" s="2" t="s">
        <v>17</v>
      </c>
      <c r="D213" s="2">
        <v>61</v>
      </c>
      <c r="E213" s="3" t="s">
        <v>11</v>
      </c>
      <c r="F213" s="7">
        <v>44998</v>
      </c>
      <c r="G213" s="2">
        <v>160</v>
      </c>
      <c r="H213" s="2">
        <v>4.9000000000000004</v>
      </c>
    </row>
    <row r="214" spans="2:8" x14ac:dyDescent="0.25">
      <c r="B214" s="2" t="s">
        <v>236</v>
      </c>
      <c r="C214" s="2" t="s">
        <v>14</v>
      </c>
      <c r="D214" s="2">
        <v>144</v>
      </c>
      <c r="E214" s="3" t="s">
        <v>10</v>
      </c>
      <c r="F214" s="7">
        <v>44998</v>
      </c>
      <c r="G214" s="2">
        <v>140</v>
      </c>
      <c r="H214" s="2">
        <v>3.5</v>
      </c>
    </row>
    <row r="215" spans="2:8" x14ac:dyDescent="0.25">
      <c r="B215" s="2" t="s">
        <v>237</v>
      </c>
      <c r="C215" s="2" t="s">
        <v>16</v>
      </c>
      <c r="D215" s="2">
        <v>145</v>
      </c>
      <c r="E215" s="3" t="s">
        <v>10</v>
      </c>
      <c r="F215" s="7">
        <v>44998</v>
      </c>
      <c r="G215" s="2">
        <v>136</v>
      </c>
      <c r="H215" s="2">
        <v>4.4000000000000004</v>
      </c>
    </row>
    <row r="216" spans="2:8" x14ac:dyDescent="0.25">
      <c r="B216" s="2" t="s">
        <v>238</v>
      </c>
      <c r="C216" s="2" t="s">
        <v>23</v>
      </c>
      <c r="D216" s="2">
        <v>85</v>
      </c>
      <c r="E216" s="3" t="s">
        <v>6</v>
      </c>
      <c r="F216" s="7">
        <v>44998</v>
      </c>
      <c r="G216" s="2">
        <v>66</v>
      </c>
      <c r="H216" s="2">
        <v>2.8</v>
      </c>
    </row>
    <row r="217" spans="2:8" x14ac:dyDescent="0.25">
      <c r="B217" s="2" t="s">
        <v>239</v>
      </c>
      <c r="C217" s="2" t="s">
        <v>16</v>
      </c>
      <c r="D217" s="2">
        <v>13</v>
      </c>
      <c r="E217" s="3" t="s">
        <v>11</v>
      </c>
      <c r="F217" s="7">
        <v>44999</v>
      </c>
      <c r="G217" s="2">
        <v>63</v>
      </c>
      <c r="H217" s="2">
        <v>4.0999999999999996</v>
      </c>
    </row>
    <row r="218" spans="2:8" x14ac:dyDescent="0.25">
      <c r="B218" s="2" t="s">
        <v>240</v>
      </c>
      <c r="C218" s="2" t="s">
        <v>20</v>
      </c>
      <c r="D218" s="2">
        <v>142</v>
      </c>
      <c r="E218" s="3" t="s">
        <v>13</v>
      </c>
      <c r="F218" s="7">
        <v>44999</v>
      </c>
      <c r="G218" s="2">
        <v>44</v>
      </c>
      <c r="H218" s="2">
        <v>3.5</v>
      </c>
    </row>
    <row r="219" spans="2:8" x14ac:dyDescent="0.25">
      <c r="B219" s="2" t="s">
        <v>241</v>
      </c>
      <c r="C219" s="2" t="s">
        <v>14</v>
      </c>
      <c r="D219" s="2">
        <v>28</v>
      </c>
      <c r="E219" s="3" t="s">
        <v>9</v>
      </c>
      <c r="F219" s="7">
        <v>44999</v>
      </c>
      <c r="G219" s="2">
        <v>78</v>
      </c>
      <c r="H219" s="2">
        <v>3.8</v>
      </c>
    </row>
    <row r="220" spans="2:8" x14ac:dyDescent="0.25">
      <c r="B220" s="2" t="s">
        <v>242</v>
      </c>
      <c r="C220" s="2" t="s">
        <v>14</v>
      </c>
      <c r="D220" s="2">
        <v>119</v>
      </c>
      <c r="E220" s="3" t="s">
        <v>13</v>
      </c>
      <c r="F220" s="7">
        <v>44999</v>
      </c>
      <c r="G220" s="2">
        <v>20</v>
      </c>
      <c r="H220" s="2">
        <v>3.9</v>
      </c>
    </row>
    <row r="221" spans="2:8" x14ac:dyDescent="0.25">
      <c r="B221" s="2" t="s">
        <v>243</v>
      </c>
      <c r="C221" s="2" t="s">
        <v>5</v>
      </c>
      <c r="D221" s="2">
        <v>65</v>
      </c>
      <c r="E221" s="3" t="s">
        <v>6</v>
      </c>
      <c r="F221" s="7">
        <v>44999</v>
      </c>
      <c r="G221" s="2">
        <v>84</v>
      </c>
      <c r="H221" s="2">
        <v>2.5</v>
      </c>
    </row>
    <row r="222" spans="2:8" x14ac:dyDescent="0.25">
      <c r="B222" s="2" t="s">
        <v>244</v>
      </c>
      <c r="C222" s="2" t="s">
        <v>24</v>
      </c>
      <c r="D222" s="2">
        <v>68</v>
      </c>
      <c r="E222" s="3" t="s">
        <v>6</v>
      </c>
      <c r="F222" s="7">
        <v>44999</v>
      </c>
      <c r="G222" s="2">
        <v>32</v>
      </c>
      <c r="H222" s="2">
        <v>4.9000000000000004</v>
      </c>
    </row>
    <row r="223" spans="2:8" x14ac:dyDescent="0.25">
      <c r="B223" s="2" t="s">
        <v>245</v>
      </c>
      <c r="C223" s="2" t="s">
        <v>22</v>
      </c>
      <c r="D223" s="2">
        <v>72</v>
      </c>
      <c r="E223" s="3" t="s">
        <v>9</v>
      </c>
      <c r="F223" s="7">
        <v>44999</v>
      </c>
      <c r="G223" s="2">
        <v>132</v>
      </c>
      <c r="H223" s="2">
        <v>3.4</v>
      </c>
    </row>
    <row r="224" spans="2:8" x14ac:dyDescent="0.25">
      <c r="B224" s="2" t="s">
        <v>246</v>
      </c>
      <c r="C224" s="2" t="s">
        <v>22</v>
      </c>
      <c r="D224" s="2">
        <v>63</v>
      </c>
      <c r="E224" s="3" t="s">
        <v>10</v>
      </c>
      <c r="F224" s="7">
        <v>44999</v>
      </c>
      <c r="G224" s="2">
        <v>105</v>
      </c>
      <c r="H224" s="2">
        <v>3.3</v>
      </c>
    </row>
    <row r="225" spans="2:8" x14ac:dyDescent="0.25">
      <c r="B225" s="2" t="s">
        <v>247</v>
      </c>
      <c r="C225" s="2" t="s">
        <v>12</v>
      </c>
      <c r="D225" s="2">
        <v>139</v>
      </c>
      <c r="E225" s="3" t="s">
        <v>13</v>
      </c>
      <c r="F225" s="7">
        <v>45000</v>
      </c>
      <c r="G225" s="2">
        <v>48</v>
      </c>
      <c r="H225" s="2">
        <v>4.7</v>
      </c>
    </row>
    <row r="226" spans="2:8" x14ac:dyDescent="0.25">
      <c r="B226" s="2" t="s">
        <v>248</v>
      </c>
      <c r="C226" s="2" t="s">
        <v>14</v>
      </c>
      <c r="D226" s="2">
        <v>59</v>
      </c>
      <c r="E226" s="3" t="s">
        <v>13</v>
      </c>
      <c r="F226" s="7">
        <v>45000</v>
      </c>
      <c r="G226" s="2">
        <v>64</v>
      </c>
      <c r="H226" s="2">
        <v>4</v>
      </c>
    </row>
    <row r="227" spans="2:8" x14ac:dyDescent="0.25">
      <c r="B227" s="2" t="s">
        <v>249</v>
      </c>
      <c r="C227" s="2" t="s">
        <v>7</v>
      </c>
      <c r="D227" s="2">
        <v>138</v>
      </c>
      <c r="E227" s="3" t="s">
        <v>10</v>
      </c>
      <c r="F227" s="7">
        <v>45000</v>
      </c>
      <c r="G227" s="2">
        <v>44</v>
      </c>
      <c r="H227" s="2">
        <v>3.8</v>
      </c>
    </row>
    <row r="228" spans="2:8" x14ac:dyDescent="0.25">
      <c r="B228" s="2" t="s">
        <v>250</v>
      </c>
      <c r="C228" s="2" t="s">
        <v>12</v>
      </c>
      <c r="D228" s="2">
        <v>47</v>
      </c>
      <c r="E228" s="3" t="s">
        <v>9</v>
      </c>
      <c r="F228" s="7">
        <v>45000</v>
      </c>
      <c r="G228" s="2">
        <v>120</v>
      </c>
      <c r="H228" s="2">
        <v>3.1</v>
      </c>
    </row>
    <row r="229" spans="2:8" x14ac:dyDescent="0.25">
      <c r="B229" s="2" t="s">
        <v>251</v>
      </c>
      <c r="C229" s="2" t="s">
        <v>7</v>
      </c>
      <c r="D229" s="2">
        <v>74</v>
      </c>
      <c r="E229" s="3" t="s">
        <v>9</v>
      </c>
      <c r="F229" s="7">
        <v>45000</v>
      </c>
      <c r="G229" s="2">
        <v>144</v>
      </c>
      <c r="H229" s="2">
        <v>4.8</v>
      </c>
    </row>
    <row r="230" spans="2:8" x14ac:dyDescent="0.25">
      <c r="B230" s="2" t="s">
        <v>252</v>
      </c>
      <c r="C230" s="2" t="s">
        <v>22</v>
      </c>
      <c r="D230" s="2">
        <v>65</v>
      </c>
      <c r="E230" s="3" t="s">
        <v>9</v>
      </c>
      <c r="F230" s="7">
        <v>45000</v>
      </c>
      <c r="G230" s="2">
        <v>87</v>
      </c>
      <c r="H230" s="2">
        <v>2.7</v>
      </c>
    </row>
    <row r="231" spans="2:8" x14ac:dyDescent="0.25">
      <c r="B231" s="2" t="s">
        <v>253</v>
      </c>
      <c r="C231" s="2" t="s">
        <v>8</v>
      </c>
      <c r="D231" s="2">
        <v>123</v>
      </c>
      <c r="E231" s="3" t="s">
        <v>6</v>
      </c>
      <c r="F231" s="7">
        <v>45000</v>
      </c>
      <c r="G231" s="2">
        <v>36</v>
      </c>
      <c r="H231" s="2">
        <v>3.6</v>
      </c>
    </row>
    <row r="232" spans="2:8" x14ac:dyDescent="0.25">
      <c r="B232" s="2" t="s">
        <v>254</v>
      </c>
      <c r="C232" s="2" t="s">
        <v>22</v>
      </c>
      <c r="D232" s="2">
        <v>90</v>
      </c>
      <c r="E232" s="3" t="s">
        <v>13</v>
      </c>
      <c r="F232" s="7">
        <v>45001</v>
      </c>
      <c r="G232" s="2">
        <v>72</v>
      </c>
      <c r="H232" s="2">
        <v>4.7</v>
      </c>
    </row>
    <row r="233" spans="2:8" x14ac:dyDescent="0.25">
      <c r="B233" s="2" t="s">
        <v>255</v>
      </c>
      <c r="C233" s="2" t="s">
        <v>17</v>
      </c>
      <c r="D233" s="2">
        <v>127</v>
      </c>
      <c r="E233" s="3" t="s">
        <v>10</v>
      </c>
      <c r="F233" s="7">
        <v>45001</v>
      </c>
      <c r="G233" s="2">
        <v>150</v>
      </c>
      <c r="H233" s="2">
        <v>4.4000000000000004</v>
      </c>
    </row>
    <row r="234" spans="2:8" x14ac:dyDescent="0.25">
      <c r="B234" s="2" t="s">
        <v>256</v>
      </c>
      <c r="C234" s="2" t="s">
        <v>21</v>
      </c>
      <c r="D234" s="2">
        <v>60</v>
      </c>
      <c r="E234" s="3" t="s">
        <v>9</v>
      </c>
      <c r="F234" s="7">
        <v>45001</v>
      </c>
      <c r="G234" s="2">
        <v>68</v>
      </c>
      <c r="H234" s="2">
        <v>4.3</v>
      </c>
    </row>
    <row r="235" spans="2:8" x14ac:dyDescent="0.25">
      <c r="B235" s="2" t="s">
        <v>257</v>
      </c>
      <c r="C235" s="2" t="s">
        <v>12</v>
      </c>
      <c r="D235" s="2">
        <v>94</v>
      </c>
      <c r="E235" s="3" t="s">
        <v>10</v>
      </c>
      <c r="F235" s="7">
        <v>45001</v>
      </c>
      <c r="G235" s="2">
        <v>99</v>
      </c>
      <c r="H235" s="2">
        <v>4.9000000000000004</v>
      </c>
    </row>
    <row r="236" spans="2:8" x14ac:dyDescent="0.25">
      <c r="B236" s="2" t="s">
        <v>258</v>
      </c>
      <c r="C236" s="2" t="s">
        <v>8</v>
      </c>
      <c r="D236" s="2">
        <v>54</v>
      </c>
      <c r="E236" s="3" t="s">
        <v>9</v>
      </c>
      <c r="F236" s="7">
        <v>45001</v>
      </c>
      <c r="G236" s="2">
        <v>26</v>
      </c>
      <c r="H236" s="2">
        <v>4.8</v>
      </c>
    </row>
    <row r="237" spans="2:8" x14ac:dyDescent="0.25">
      <c r="B237" s="2" t="s">
        <v>259</v>
      </c>
      <c r="C237" s="2" t="s">
        <v>22</v>
      </c>
      <c r="D237" s="2">
        <v>104</v>
      </c>
      <c r="E237" s="3" t="s">
        <v>9</v>
      </c>
      <c r="F237" s="7">
        <v>45001</v>
      </c>
      <c r="G237" s="2">
        <v>88</v>
      </c>
      <c r="H237" s="2">
        <v>3.2</v>
      </c>
    </row>
    <row r="238" spans="2:8" x14ac:dyDescent="0.25">
      <c r="B238" s="2" t="s">
        <v>260</v>
      </c>
      <c r="C238" s="2" t="s">
        <v>15</v>
      </c>
      <c r="D238" s="2">
        <v>100</v>
      </c>
      <c r="E238" s="3" t="s">
        <v>9</v>
      </c>
      <c r="F238" s="7">
        <v>45001</v>
      </c>
      <c r="G238" s="2">
        <v>124</v>
      </c>
      <c r="H238" s="2">
        <v>3.4</v>
      </c>
    </row>
    <row r="239" spans="2:8" x14ac:dyDescent="0.25">
      <c r="B239" s="2" t="s">
        <v>261</v>
      </c>
      <c r="C239" s="2" t="s">
        <v>7</v>
      </c>
      <c r="D239" s="2">
        <v>84</v>
      </c>
      <c r="E239" s="3" t="s">
        <v>9</v>
      </c>
      <c r="F239" s="7">
        <v>45001</v>
      </c>
      <c r="G239" s="2">
        <v>72</v>
      </c>
      <c r="H239" s="2">
        <v>3.5</v>
      </c>
    </row>
    <row r="240" spans="2:8" x14ac:dyDescent="0.25">
      <c r="B240" s="2" t="s">
        <v>262</v>
      </c>
      <c r="C240" s="2" t="s">
        <v>20</v>
      </c>
      <c r="D240" s="2">
        <v>92</v>
      </c>
      <c r="E240" s="3" t="s">
        <v>11</v>
      </c>
      <c r="F240" s="7">
        <v>45002</v>
      </c>
      <c r="G240" s="2">
        <v>125</v>
      </c>
      <c r="H240" s="2">
        <v>4.9000000000000004</v>
      </c>
    </row>
    <row r="241" spans="2:8" x14ac:dyDescent="0.25">
      <c r="B241" s="2" t="s">
        <v>263</v>
      </c>
      <c r="C241" s="2" t="s">
        <v>18</v>
      </c>
      <c r="D241" s="2">
        <v>64</v>
      </c>
      <c r="E241" s="3" t="s">
        <v>10</v>
      </c>
      <c r="F241" s="7">
        <v>45002</v>
      </c>
      <c r="G241" s="2">
        <v>22</v>
      </c>
      <c r="H241" s="2">
        <v>4.0999999999999996</v>
      </c>
    </row>
    <row r="242" spans="2:8" x14ac:dyDescent="0.25">
      <c r="B242" s="2" t="s">
        <v>264</v>
      </c>
      <c r="C242" s="2" t="s">
        <v>23</v>
      </c>
      <c r="D242" s="2">
        <v>89</v>
      </c>
      <c r="E242" s="3" t="s">
        <v>13</v>
      </c>
      <c r="F242" s="7">
        <v>45003</v>
      </c>
      <c r="G242" s="2">
        <v>70</v>
      </c>
      <c r="H242" s="2">
        <v>4.9000000000000004</v>
      </c>
    </row>
    <row r="243" spans="2:8" x14ac:dyDescent="0.25">
      <c r="B243" s="2" t="s">
        <v>265</v>
      </c>
      <c r="C243" s="2" t="s">
        <v>19</v>
      </c>
      <c r="D243" s="2">
        <v>40</v>
      </c>
      <c r="E243" s="3" t="s">
        <v>9</v>
      </c>
      <c r="F243" s="7">
        <v>45003</v>
      </c>
      <c r="G243" s="2">
        <v>24</v>
      </c>
      <c r="H243" s="2">
        <v>4.3</v>
      </c>
    </row>
    <row r="244" spans="2:8" x14ac:dyDescent="0.25">
      <c r="B244" s="2" t="s">
        <v>266</v>
      </c>
      <c r="C244" s="2" t="s">
        <v>14</v>
      </c>
      <c r="D244" s="2">
        <v>75</v>
      </c>
      <c r="E244" s="3" t="s">
        <v>6</v>
      </c>
      <c r="F244" s="7">
        <v>45003</v>
      </c>
      <c r="G244" s="2">
        <v>32</v>
      </c>
      <c r="H244" s="2">
        <v>4.0999999999999996</v>
      </c>
    </row>
    <row r="245" spans="2:8" x14ac:dyDescent="0.25">
      <c r="B245" s="2" t="s">
        <v>267</v>
      </c>
      <c r="C245" s="2" t="s">
        <v>17</v>
      </c>
      <c r="D245" s="2">
        <v>106</v>
      </c>
      <c r="E245" s="3" t="s">
        <v>11</v>
      </c>
      <c r="F245" s="7">
        <v>45003</v>
      </c>
      <c r="G245" s="2">
        <v>112</v>
      </c>
      <c r="H245" s="2">
        <v>4.4000000000000004</v>
      </c>
    </row>
    <row r="246" spans="2:8" x14ac:dyDescent="0.25">
      <c r="B246" s="2" t="s">
        <v>268</v>
      </c>
      <c r="C246" s="2" t="s">
        <v>18</v>
      </c>
      <c r="D246" s="2">
        <v>58</v>
      </c>
      <c r="E246" s="3" t="s">
        <v>9</v>
      </c>
      <c r="F246" s="7">
        <v>45004</v>
      </c>
      <c r="G246" s="2">
        <v>43</v>
      </c>
      <c r="H246" s="2">
        <v>4.5</v>
      </c>
    </row>
    <row r="247" spans="2:8" x14ac:dyDescent="0.25">
      <c r="B247" s="2" t="s">
        <v>269</v>
      </c>
      <c r="C247" s="2" t="s">
        <v>7</v>
      </c>
      <c r="D247" s="2">
        <v>84</v>
      </c>
      <c r="E247" s="3" t="s">
        <v>11</v>
      </c>
      <c r="F247" s="7">
        <v>45004</v>
      </c>
      <c r="G247" s="2">
        <v>22</v>
      </c>
      <c r="H247" s="2">
        <v>3.5</v>
      </c>
    </row>
    <row r="248" spans="2:8" x14ac:dyDescent="0.25">
      <c r="B248" s="2" t="s">
        <v>270</v>
      </c>
      <c r="C248" s="2" t="s">
        <v>22</v>
      </c>
      <c r="D248" s="2">
        <v>140</v>
      </c>
      <c r="E248" s="3" t="s">
        <v>11</v>
      </c>
      <c r="F248" s="7">
        <v>45004</v>
      </c>
      <c r="G248" s="2">
        <v>93</v>
      </c>
      <c r="H248" s="2">
        <v>4.4000000000000004</v>
      </c>
    </row>
    <row r="249" spans="2:8" x14ac:dyDescent="0.25">
      <c r="B249" s="2" t="s">
        <v>271</v>
      </c>
      <c r="C249" s="2" t="s">
        <v>18</v>
      </c>
      <c r="D249" s="2">
        <v>67</v>
      </c>
      <c r="E249" s="3" t="s">
        <v>11</v>
      </c>
      <c r="F249" s="7">
        <v>45004</v>
      </c>
      <c r="G249" s="2">
        <v>45</v>
      </c>
      <c r="H249" s="2">
        <v>3.5</v>
      </c>
    </row>
    <row r="250" spans="2:8" x14ac:dyDescent="0.25">
      <c r="B250" s="2" t="s">
        <v>272</v>
      </c>
      <c r="C250" s="2" t="s">
        <v>12</v>
      </c>
      <c r="D250" s="2">
        <v>126</v>
      </c>
      <c r="E250" s="3" t="s">
        <v>11</v>
      </c>
      <c r="F250" s="7">
        <v>45005</v>
      </c>
      <c r="G250" s="2">
        <v>96</v>
      </c>
      <c r="H250" s="2">
        <v>3.8</v>
      </c>
    </row>
    <row r="251" spans="2:8" x14ac:dyDescent="0.25">
      <c r="B251" s="2" t="s">
        <v>273</v>
      </c>
      <c r="C251" s="2" t="s">
        <v>12</v>
      </c>
      <c r="D251" s="2">
        <v>89</v>
      </c>
      <c r="E251" s="3" t="s">
        <v>9</v>
      </c>
      <c r="F251" s="7">
        <v>45005</v>
      </c>
      <c r="G251" s="2">
        <v>96</v>
      </c>
      <c r="H251" s="2">
        <v>3.3</v>
      </c>
    </row>
    <row r="252" spans="2:8" x14ac:dyDescent="0.25">
      <c r="B252" s="2" t="s">
        <v>274</v>
      </c>
      <c r="C252" s="2" t="s">
        <v>23</v>
      </c>
      <c r="D252" s="2">
        <v>56</v>
      </c>
      <c r="E252" s="3" t="s">
        <v>10</v>
      </c>
      <c r="F252" s="7">
        <v>45005</v>
      </c>
      <c r="G252" s="2">
        <v>31</v>
      </c>
      <c r="H252" s="2">
        <v>4.4000000000000004</v>
      </c>
    </row>
    <row r="253" spans="2:8" x14ac:dyDescent="0.25">
      <c r="B253" s="2" t="s">
        <v>275</v>
      </c>
      <c r="C253" s="2" t="s">
        <v>8</v>
      </c>
      <c r="D253" s="2">
        <v>48</v>
      </c>
      <c r="E253" s="3" t="s">
        <v>9</v>
      </c>
      <c r="F253" s="7">
        <v>45005</v>
      </c>
      <c r="G253" s="2">
        <v>200</v>
      </c>
      <c r="H253" s="2">
        <v>3.9</v>
      </c>
    </row>
    <row r="254" spans="2:8" x14ac:dyDescent="0.25">
      <c r="B254" s="2" t="s">
        <v>276</v>
      </c>
      <c r="C254" s="2" t="s">
        <v>12</v>
      </c>
      <c r="D254" s="2">
        <v>55</v>
      </c>
      <c r="E254" s="3" t="s">
        <v>10</v>
      </c>
      <c r="F254" s="7">
        <v>45005</v>
      </c>
      <c r="G254" s="2">
        <v>99</v>
      </c>
      <c r="H254" s="2">
        <v>2.7</v>
      </c>
    </row>
    <row r="255" spans="2:8" x14ac:dyDescent="0.25">
      <c r="B255" s="2" t="s">
        <v>277</v>
      </c>
      <c r="C255" s="2" t="s">
        <v>21</v>
      </c>
      <c r="D255" s="2">
        <v>88</v>
      </c>
      <c r="E255" s="3" t="s">
        <v>6</v>
      </c>
      <c r="F255" s="7">
        <v>45005</v>
      </c>
      <c r="G255" s="2">
        <v>144</v>
      </c>
      <c r="H255" s="2">
        <v>2.9</v>
      </c>
    </row>
    <row r="256" spans="2:8" x14ac:dyDescent="0.25">
      <c r="B256" s="2" t="s">
        <v>278</v>
      </c>
      <c r="C256" s="2" t="s">
        <v>23</v>
      </c>
      <c r="D256" s="2">
        <v>102</v>
      </c>
      <c r="E256" s="3" t="s">
        <v>11</v>
      </c>
      <c r="F256" s="7">
        <v>45006</v>
      </c>
      <c r="G256" s="2">
        <v>81</v>
      </c>
      <c r="H256" s="2">
        <v>4</v>
      </c>
    </row>
    <row r="257" spans="2:8" x14ac:dyDescent="0.25">
      <c r="B257" s="2" t="s">
        <v>279</v>
      </c>
      <c r="C257" s="2" t="s">
        <v>21</v>
      </c>
      <c r="D257" s="2">
        <v>155</v>
      </c>
      <c r="E257" s="3" t="s">
        <v>6</v>
      </c>
      <c r="F257" s="7">
        <v>45006</v>
      </c>
      <c r="G257" s="2">
        <v>70</v>
      </c>
      <c r="H257" s="2">
        <v>4.4000000000000004</v>
      </c>
    </row>
    <row r="258" spans="2:8" x14ac:dyDescent="0.25">
      <c r="B258" s="2" t="s">
        <v>280</v>
      </c>
      <c r="C258" s="2" t="s">
        <v>12</v>
      </c>
      <c r="D258" s="2">
        <v>63</v>
      </c>
      <c r="E258" s="3" t="s">
        <v>6</v>
      </c>
      <c r="F258" s="7">
        <v>45006</v>
      </c>
      <c r="G258" s="2">
        <v>148</v>
      </c>
      <c r="H258" s="2">
        <v>5</v>
      </c>
    </row>
    <row r="259" spans="2:8" x14ac:dyDescent="0.25">
      <c r="B259" s="2" t="s">
        <v>281</v>
      </c>
      <c r="C259" s="2" t="s">
        <v>15</v>
      </c>
      <c r="D259" s="2">
        <v>59</v>
      </c>
      <c r="E259" s="3" t="s">
        <v>11</v>
      </c>
      <c r="F259" s="7">
        <v>45006</v>
      </c>
      <c r="G259" s="2">
        <v>215</v>
      </c>
      <c r="H259" s="2">
        <v>4.0999999999999996</v>
      </c>
    </row>
    <row r="260" spans="2:8" x14ac:dyDescent="0.25">
      <c r="B260" s="2" t="s">
        <v>282</v>
      </c>
      <c r="C260" s="2" t="s">
        <v>15</v>
      </c>
      <c r="D260" s="2">
        <v>144</v>
      </c>
      <c r="E260" s="3" t="s">
        <v>9</v>
      </c>
      <c r="F260" s="7">
        <v>45006</v>
      </c>
      <c r="G260" s="2">
        <v>124</v>
      </c>
      <c r="H260" s="2">
        <v>4.4000000000000004</v>
      </c>
    </row>
    <row r="261" spans="2:8" x14ac:dyDescent="0.25">
      <c r="B261" s="2" t="s">
        <v>283</v>
      </c>
      <c r="C261" s="2" t="s">
        <v>7</v>
      </c>
      <c r="D261" s="2">
        <v>113</v>
      </c>
      <c r="E261" s="3" t="s">
        <v>13</v>
      </c>
      <c r="F261" s="7">
        <v>45006</v>
      </c>
      <c r="G261" s="2">
        <v>168</v>
      </c>
      <c r="H261" s="2">
        <v>4.0999999999999996</v>
      </c>
    </row>
    <row r="262" spans="2:8" x14ac:dyDescent="0.25">
      <c r="B262" s="2" t="s">
        <v>284</v>
      </c>
      <c r="C262" s="2" t="s">
        <v>16</v>
      </c>
      <c r="D262" s="2">
        <v>154</v>
      </c>
      <c r="E262" s="3" t="s">
        <v>10</v>
      </c>
      <c r="F262" s="7">
        <v>45006</v>
      </c>
      <c r="G262" s="2">
        <v>90</v>
      </c>
      <c r="H262" s="2">
        <v>4.5</v>
      </c>
    </row>
    <row r="263" spans="2:8" x14ac:dyDescent="0.25">
      <c r="B263" s="2" t="s">
        <v>285</v>
      </c>
      <c r="C263" s="2" t="s">
        <v>16</v>
      </c>
      <c r="D263" s="2">
        <v>58</v>
      </c>
      <c r="E263" s="3" t="s">
        <v>11</v>
      </c>
      <c r="F263" s="7">
        <v>45007</v>
      </c>
      <c r="G263" s="2">
        <v>176</v>
      </c>
      <c r="H263" s="2">
        <v>4.2</v>
      </c>
    </row>
    <row r="264" spans="2:8" x14ac:dyDescent="0.25">
      <c r="B264" s="2" t="s">
        <v>286</v>
      </c>
      <c r="C264" s="2" t="s">
        <v>8</v>
      </c>
      <c r="D264" s="2">
        <v>63</v>
      </c>
      <c r="E264" s="3" t="s">
        <v>6</v>
      </c>
      <c r="F264" s="7">
        <v>45007</v>
      </c>
      <c r="G264" s="2">
        <v>87</v>
      </c>
      <c r="H264" s="2">
        <v>4.5999999999999996</v>
      </c>
    </row>
    <row r="265" spans="2:8" x14ac:dyDescent="0.25">
      <c r="B265" s="2" t="s">
        <v>287</v>
      </c>
      <c r="C265" s="2" t="s">
        <v>22</v>
      </c>
      <c r="D265" s="2">
        <v>59</v>
      </c>
      <c r="E265" s="3" t="s">
        <v>9</v>
      </c>
      <c r="F265" s="7">
        <v>45007</v>
      </c>
      <c r="G265" s="2">
        <v>128</v>
      </c>
      <c r="H265" s="2">
        <v>4.5</v>
      </c>
    </row>
    <row r="266" spans="2:8" x14ac:dyDescent="0.25">
      <c r="B266" s="2" t="s">
        <v>288</v>
      </c>
      <c r="C266" s="2" t="s">
        <v>5</v>
      </c>
      <c r="D266" s="2">
        <v>129</v>
      </c>
      <c r="E266" s="3" t="s">
        <v>6</v>
      </c>
      <c r="F266" s="7">
        <v>45007</v>
      </c>
      <c r="G266" s="2">
        <v>120</v>
      </c>
      <c r="H266" s="2">
        <v>4.0999999999999996</v>
      </c>
    </row>
    <row r="267" spans="2:8" x14ac:dyDescent="0.25">
      <c r="B267" s="2" t="s">
        <v>289</v>
      </c>
      <c r="C267" s="2" t="s">
        <v>24</v>
      </c>
      <c r="D267" s="2">
        <v>101</v>
      </c>
      <c r="E267" s="3" t="s">
        <v>13</v>
      </c>
      <c r="F267" s="7">
        <v>45007</v>
      </c>
      <c r="G267" s="2">
        <v>130</v>
      </c>
      <c r="H267" s="2">
        <v>4.8</v>
      </c>
    </row>
    <row r="268" spans="2:8" x14ac:dyDescent="0.25">
      <c r="B268" s="2" t="s">
        <v>290</v>
      </c>
      <c r="C268" s="2" t="s">
        <v>19</v>
      </c>
      <c r="D268" s="2">
        <v>154</v>
      </c>
      <c r="E268" s="3" t="s">
        <v>9</v>
      </c>
      <c r="F268" s="7">
        <v>45007</v>
      </c>
      <c r="G268" s="2">
        <v>172</v>
      </c>
      <c r="H268" s="2">
        <v>3.1</v>
      </c>
    </row>
    <row r="269" spans="2:8" x14ac:dyDescent="0.25">
      <c r="B269" s="2" t="s">
        <v>291</v>
      </c>
      <c r="C269" s="2" t="s">
        <v>18</v>
      </c>
      <c r="D269" s="2">
        <v>131</v>
      </c>
      <c r="E269" s="3" t="s">
        <v>9</v>
      </c>
      <c r="F269" s="7">
        <v>45007</v>
      </c>
      <c r="G269" s="2">
        <v>58</v>
      </c>
      <c r="H269" s="2">
        <v>4.9000000000000004</v>
      </c>
    </row>
    <row r="270" spans="2:8" x14ac:dyDescent="0.25">
      <c r="B270" s="2" t="s">
        <v>292</v>
      </c>
      <c r="C270" s="2" t="s">
        <v>15</v>
      </c>
      <c r="D270" s="2">
        <v>111</v>
      </c>
      <c r="E270" s="3" t="s">
        <v>13</v>
      </c>
      <c r="F270" s="7">
        <v>45008</v>
      </c>
      <c r="G270" s="2">
        <v>86</v>
      </c>
      <c r="H270" s="2">
        <v>4.0999999999999996</v>
      </c>
    </row>
    <row r="271" spans="2:8" x14ac:dyDescent="0.25">
      <c r="B271" s="2" t="s">
        <v>293</v>
      </c>
      <c r="C271" s="2" t="s">
        <v>16</v>
      </c>
      <c r="D271" s="2">
        <v>142</v>
      </c>
      <c r="E271" s="3" t="s">
        <v>13</v>
      </c>
      <c r="F271" s="7">
        <v>45009</v>
      </c>
      <c r="G271" s="2">
        <v>31</v>
      </c>
      <c r="H271" s="2">
        <v>4.4000000000000004</v>
      </c>
    </row>
    <row r="272" spans="2:8" x14ac:dyDescent="0.25">
      <c r="B272" s="2" t="s">
        <v>294</v>
      </c>
      <c r="C272" s="2" t="s">
        <v>23</v>
      </c>
      <c r="D272" s="2">
        <v>93</v>
      </c>
      <c r="E272" s="3" t="s">
        <v>6</v>
      </c>
      <c r="F272" s="7">
        <v>45009</v>
      </c>
      <c r="G272" s="2">
        <v>72</v>
      </c>
      <c r="H272" s="2">
        <v>4.4000000000000004</v>
      </c>
    </row>
    <row r="273" spans="2:8" x14ac:dyDescent="0.25">
      <c r="B273" s="2" t="s">
        <v>295</v>
      </c>
      <c r="C273" s="2" t="s">
        <v>16</v>
      </c>
      <c r="D273" s="2">
        <v>125</v>
      </c>
      <c r="E273" s="3" t="s">
        <v>10</v>
      </c>
      <c r="F273" s="7">
        <v>45010</v>
      </c>
      <c r="G273" s="2">
        <v>27</v>
      </c>
      <c r="H273" s="2">
        <v>3</v>
      </c>
    </row>
    <row r="274" spans="2:8" x14ac:dyDescent="0.25">
      <c r="B274" s="2" t="s">
        <v>296</v>
      </c>
      <c r="C274" s="2" t="s">
        <v>5</v>
      </c>
      <c r="D274" s="2">
        <v>76</v>
      </c>
      <c r="E274" s="3" t="s">
        <v>9</v>
      </c>
      <c r="F274" s="7">
        <v>45010</v>
      </c>
      <c r="G274" s="2">
        <v>110</v>
      </c>
      <c r="H274" s="2">
        <v>4.4000000000000004</v>
      </c>
    </row>
    <row r="275" spans="2:8" x14ac:dyDescent="0.25">
      <c r="B275" s="2" t="s">
        <v>297</v>
      </c>
      <c r="C275" s="2" t="s">
        <v>7</v>
      </c>
      <c r="D275" s="2">
        <v>69</v>
      </c>
      <c r="E275" s="3" t="s">
        <v>6</v>
      </c>
      <c r="F275" s="7">
        <v>45010</v>
      </c>
      <c r="G275" s="2">
        <v>126</v>
      </c>
      <c r="H275" s="2">
        <v>3.7</v>
      </c>
    </row>
    <row r="276" spans="2:8" x14ac:dyDescent="0.25">
      <c r="B276" s="2" t="s">
        <v>298</v>
      </c>
      <c r="C276" s="2" t="s">
        <v>22</v>
      </c>
      <c r="D276" s="2">
        <v>149</v>
      </c>
      <c r="E276" s="3" t="s">
        <v>10</v>
      </c>
      <c r="F276" s="7">
        <v>45010</v>
      </c>
      <c r="G276" s="2">
        <v>60</v>
      </c>
      <c r="H276" s="2">
        <v>3.9</v>
      </c>
    </row>
    <row r="277" spans="2:8" x14ac:dyDescent="0.25">
      <c r="B277" s="2" t="s">
        <v>299</v>
      </c>
      <c r="C277" s="2" t="s">
        <v>16</v>
      </c>
      <c r="D277" s="2">
        <v>57</v>
      </c>
      <c r="E277" s="3" t="s">
        <v>6</v>
      </c>
      <c r="F277" s="7">
        <v>45010</v>
      </c>
      <c r="G277" s="2">
        <v>35</v>
      </c>
      <c r="H277" s="2">
        <v>3.5</v>
      </c>
    </row>
    <row r="278" spans="2:8" x14ac:dyDescent="0.25">
      <c r="B278" s="2" t="s">
        <v>300</v>
      </c>
      <c r="C278" s="2" t="s">
        <v>12</v>
      </c>
      <c r="D278" s="2">
        <v>113</v>
      </c>
      <c r="E278" s="3" t="s">
        <v>9</v>
      </c>
      <c r="F278" s="7">
        <v>45010</v>
      </c>
      <c r="G278" s="2">
        <v>81</v>
      </c>
      <c r="H278" s="2">
        <v>3.5</v>
      </c>
    </row>
    <row r="279" spans="2:8" x14ac:dyDescent="0.25">
      <c r="B279" s="2" t="s">
        <v>301</v>
      </c>
      <c r="C279" s="2" t="s">
        <v>20</v>
      </c>
      <c r="D279" s="2">
        <v>160</v>
      </c>
      <c r="E279" s="3" t="s">
        <v>10</v>
      </c>
      <c r="F279" s="7">
        <v>45010</v>
      </c>
      <c r="G279" s="2">
        <v>116</v>
      </c>
      <c r="H279" s="2">
        <v>3.4</v>
      </c>
    </row>
    <row r="280" spans="2:8" x14ac:dyDescent="0.25">
      <c r="B280" s="2" t="s">
        <v>302</v>
      </c>
      <c r="C280" s="2" t="s">
        <v>8</v>
      </c>
      <c r="D280" s="2">
        <v>158</v>
      </c>
      <c r="E280" s="3" t="s">
        <v>11</v>
      </c>
      <c r="F280" s="7">
        <v>45010</v>
      </c>
      <c r="G280" s="2">
        <v>60</v>
      </c>
      <c r="H280" s="2">
        <v>4.5</v>
      </c>
    </row>
    <row r="281" spans="2:8" x14ac:dyDescent="0.25">
      <c r="B281" s="2" t="s">
        <v>303</v>
      </c>
      <c r="C281" s="2" t="s">
        <v>7</v>
      </c>
      <c r="D281" s="2">
        <v>77</v>
      </c>
      <c r="E281" s="3" t="s">
        <v>10</v>
      </c>
      <c r="F281" s="7">
        <v>45011</v>
      </c>
      <c r="G281" s="2">
        <v>130</v>
      </c>
      <c r="H281" s="2">
        <v>4.2</v>
      </c>
    </row>
    <row r="282" spans="2:8" x14ac:dyDescent="0.25">
      <c r="B282" s="2" t="s">
        <v>304</v>
      </c>
      <c r="C282" s="2" t="s">
        <v>14</v>
      </c>
      <c r="D282" s="2">
        <v>118</v>
      </c>
      <c r="E282" s="3" t="s">
        <v>13</v>
      </c>
      <c r="F282" s="7">
        <v>45011</v>
      </c>
      <c r="G282" s="2">
        <v>99</v>
      </c>
      <c r="H282" s="2">
        <v>5</v>
      </c>
    </row>
    <row r="283" spans="2:8" x14ac:dyDescent="0.25">
      <c r="B283" s="2" t="s">
        <v>305</v>
      </c>
      <c r="C283" s="2" t="s">
        <v>19</v>
      </c>
      <c r="D283" s="2">
        <v>75</v>
      </c>
      <c r="E283" s="3" t="s">
        <v>9</v>
      </c>
      <c r="F283" s="7">
        <v>45011</v>
      </c>
      <c r="G283" s="2">
        <v>135</v>
      </c>
      <c r="H283" s="2">
        <v>4.7</v>
      </c>
    </row>
    <row r="284" spans="2:8" x14ac:dyDescent="0.25">
      <c r="B284" s="2" t="s">
        <v>306</v>
      </c>
      <c r="C284" s="2" t="s">
        <v>12</v>
      </c>
      <c r="D284" s="2">
        <v>103</v>
      </c>
      <c r="E284" s="3" t="s">
        <v>10</v>
      </c>
      <c r="F284" s="7">
        <v>45011</v>
      </c>
      <c r="G284" s="2">
        <v>42</v>
      </c>
      <c r="H284" s="2">
        <v>2.8</v>
      </c>
    </row>
    <row r="285" spans="2:8" x14ac:dyDescent="0.25">
      <c r="B285" s="2" t="s">
        <v>307</v>
      </c>
      <c r="C285" s="2" t="s">
        <v>7</v>
      </c>
      <c r="D285" s="2">
        <v>116</v>
      </c>
      <c r="E285" s="3" t="s">
        <v>13</v>
      </c>
      <c r="F285" s="7">
        <v>45012</v>
      </c>
      <c r="G285" s="2">
        <v>63</v>
      </c>
      <c r="H285" s="2">
        <v>3.4</v>
      </c>
    </row>
    <row r="286" spans="2:8" x14ac:dyDescent="0.25">
      <c r="B286" s="2" t="s">
        <v>308</v>
      </c>
      <c r="C286" s="2" t="s">
        <v>15</v>
      </c>
      <c r="D286" s="2">
        <v>61</v>
      </c>
      <c r="E286" s="3" t="s">
        <v>11</v>
      </c>
      <c r="F286" s="7">
        <v>45012</v>
      </c>
      <c r="G286" s="2">
        <v>140</v>
      </c>
      <c r="H286" s="2">
        <v>1.8</v>
      </c>
    </row>
    <row r="287" spans="2:8" x14ac:dyDescent="0.25">
      <c r="B287" s="2" t="s">
        <v>309</v>
      </c>
      <c r="C287" s="2" t="s">
        <v>16</v>
      </c>
      <c r="D287" s="2">
        <v>126</v>
      </c>
      <c r="E287" s="3" t="s">
        <v>9</v>
      </c>
      <c r="F287" s="7">
        <v>45012</v>
      </c>
      <c r="G287" s="2">
        <v>128</v>
      </c>
      <c r="H287" s="2">
        <v>4.2</v>
      </c>
    </row>
    <row r="288" spans="2:8" x14ac:dyDescent="0.25">
      <c r="B288" s="2" t="s">
        <v>310</v>
      </c>
      <c r="C288" s="2" t="s">
        <v>24</v>
      </c>
      <c r="D288" s="2">
        <v>141</v>
      </c>
      <c r="E288" s="3" t="s">
        <v>6</v>
      </c>
      <c r="F288" s="7">
        <v>45012</v>
      </c>
      <c r="G288" s="2">
        <v>80</v>
      </c>
      <c r="H288" s="2">
        <v>4.4000000000000004</v>
      </c>
    </row>
    <row r="289" spans="2:8" x14ac:dyDescent="0.25">
      <c r="B289" s="2" t="s">
        <v>311</v>
      </c>
      <c r="C289" s="2" t="s">
        <v>8</v>
      </c>
      <c r="D289" s="2">
        <v>95</v>
      </c>
      <c r="E289" s="3" t="s">
        <v>13</v>
      </c>
      <c r="F289" s="7">
        <v>45012</v>
      </c>
      <c r="G289" s="2">
        <v>28</v>
      </c>
      <c r="H289" s="2">
        <v>2.7</v>
      </c>
    </row>
    <row r="290" spans="2:8" x14ac:dyDescent="0.25">
      <c r="B290" s="2" t="s">
        <v>312</v>
      </c>
      <c r="C290" s="2" t="s">
        <v>19</v>
      </c>
      <c r="D290" s="2">
        <v>39</v>
      </c>
      <c r="E290" s="3" t="s">
        <v>11</v>
      </c>
      <c r="F290" s="7">
        <v>45013</v>
      </c>
      <c r="G290" s="2">
        <v>81</v>
      </c>
      <c r="H290" s="2">
        <v>5</v>
      </c>
    </row>
    <row r="291" spans="2:8" x14ac:dyDescent="0.25">
      <c r="B291" s="2" t="s">
        <v>313</v>
      </c>
      <c r="C291" s="2" t="s">
        <v>12</v>
      </c>
      <c r="D291" s="2">
        <v>127</v>
      </c>
      <c r="E291" s="3" t="s">
        <v>9</v>
      </c>
      <c r="F291" s="7">
        <v>45013</v>
      </c>
      <c r="G291" s="2">
        <v>99</v>
      </c>
      <c r="H291" s="2">
        <v>3.9</v>
      </c>
    </row>
    <row r="292" spans="2:8" x14ac:dyDescent="0.25">
      <c r="B292" s="2" t="s">
        <v>314</v>
      </c>
      <c r="C292" s="2" t="s">
        <v>15</v>
      </c>
      <c r="D292" s="2">
        <v>78</v>
      </c>
      <c r="E292" s="3" t="s">
        <v>9</v>
      </c>
      <c r="F292" s="7">
        <v>45013</v>
      </c>
      <c r="G292" s="2">
        <v>43</v>
      </c>
      <c r="H292" s="2">
        <v>3.8</v>
      </c>
    </row>
    <row r="293" spans="2:8" x14ac:dyDescent="0.25">
      <c r="B293" s="2" t="s">
        <v>315</v>
      </c>
      <c r="C293" s="2" t="s">
        <v>14</v>
      </c>
      <c r="D293" s="2">
        <v>40</v>
      </c>
      <c r="E293" s="3" t="s">
        <v>9</v>
      </c>
      <c r="F293" s="7">
        <v>45013</v>
      </c>
      <c r="G293" s="2">
        <v>34</v>
      </c>
      <c r="H293" s="2">
        <v>4.5999999999999996</v>
      </c>
    </row>
    <row r="294" spans="2:8" x14ac:dyDescent="0.25">
      <c r="B294" s="2" t="s">
        <v>316</v>
      </c>
      <c r="C294" s="2" t="s">
        <v>15</v>
      </c>
      <c r="D294" s="2">
        <v>56</v>
      </c>
      <c r="E294" s="3" t="s">
        <v>11</v>
      </c>
      <c r="F294" s="7">
        <v>45013</v>
      </c>
      <c r="G294" s="2">
        <v>225</v>
      </c>
      <c r="H294" s="2">
        <v>4.5999999999999996</v>
      </c>
    </row>
    <row r="295" spans="2:8" x14ac:dyDescent="0.25">
      <c r="B295" s="2" t="s">
        <v>317</v>
      </c>
      <c r="C295" s="2" t="s">
        <v>19</v>
      </c>
      <c r="D295" s="2">
        <v>59</v>
      </c>
      <c r="E295" s="3" t="s">
        <v>6</v>
      </c>
      <c r="F295" s="7">
        <v>45013</v>
      </c>
      <c r="G295" s="2">
        <v>210</v>
      </c>
      <c r="H295" s="2">
        <v>4.5</v>
      </c>
    </row>
    <row r="296" spans="2:8" x14ac:dyDescent="0.25">
      <c r="B296" s="2" t="s">
        <v>318</v>
      </c>
      <c r="C296" s="2" t="s">
        <v>16</v>
      </c>
      <c r="D296" s="2">
        <v>30</v>
      </c>
      <c r="E296" s="3" t="s">
        <v>9</v>
      </c>
      <c r="F296" s="7">
        <v>45013</v>
      </c>
      <c r="G296" s="2">
        <v>168</v>
      </c>
      <c r="H296" s="2">
        <v>4.2</v>
      </c>
    </row>
    <row r="297" spans="2:8" x14ac:dyDescent="0.25">
      <c r="B297" s="2" t="s">
        <v>319</v>
      </c>
      <c r="C297" s="2" t="s">
        <v>14</v>
      </c>
      <c r="D297" s="2">
        <v>63</v>
      </c>
      <c r="E297" s="3" t="s">
        <v>10</v>
      </c>
      <c r="F297" s="7">
        <v>45014</v>
      </c>
      <c r="G297" s="2">
        <v>82</v>
      </c>
      <c r="H297" s="2">
        <v>4.5</v>
      </c>
    </row>
    <row r="298" spans="2:8" x14ac:dyDescent="0.25">
      <c r="B298" s="2" t="s">
        <v>320</v>
      </c>
      <c r="C298" s="2" t="s">
        <v>23</v>
      </c>
      <c r="D298" s="2">
        <v>56</v>
      </c>
      <c r="E298" s="3" t="s">
        <v>13</v>
      </c>
      <c r="F298" s="7">
        <v>45014</v>
      </c>
      <c r="G298" s="2">
        <v>88</v>
      </c>
      <c r="H298" s="2">
        <v>4.0999999999999996</v>
      </c>
    </row>
    <row r="299" spans="2:8" x14ac:dyDescent="0.25">
      <c r="B299" s="2" t="s">
        <v>321</v>
      </c>
      <c r="C299" s="2" t="s">
        <v>5</v>
      </c>
      <c r="D299" s="2">
        <v>95</v>
      </c>
      <c r="E299" s="3" t="s">
        <v>10</v>
      </c>
      <c r="F299" s="7">
        <v>45014</v>
      </c>
      <c r="G299" s="2">
        <v>111</v>
      </c>
      <c r="H299" s="2">
        <v>3.3</v>
      </c>
    </row>
    <row r="300" spans="2:8" x14ac:dyDescent="0.25">
      <c r="B300" s="2" t="s">
        <v>322</v>
      </c>
      <c r="C300" s="2" t="s">
        <v>17</v>
      </c>
      <c r="D300" s="2">
        <v>128</v>
      </c>
      <c r="E300" s="3" t="s">
        <v>6</v>
      </c>
      <c r="F300" s="7">
        <v>45014</v>
      </c>
      <c r="G300" s="2">
        <v>60</v>
      </c>
      <c r="H300" s="2">
        <v>3.8</v>
      </c>
    </row>
    <row r="301" spans="2:8" x14ac:dyDescent="0.25">
      <c r="B301" s="2" t="s">
        <v>323</v>
      </c>
      <c r="C301" s="2" t="s">
        <v>8</v>
      </c>
      <c r="D301" s="2">
        <v>49</v>
      </c>
      <c r="E301" s="3" t="s">
        <v>10</v>
      </c>
      <c r="F301" s="7">
        <v>45014</v>
      </c>
      <c r="G301" s="2">
        <v>80</v>
      </c>
      <c r="H301" s="2">
        <v>3</v>
      </c>
    </row>
    <row r="302" spans="2:8" x14ac:dyDescent="0.25">
      <c r="B302" s="2" t="s">
        <v>324</v>
      </c>
      <c r="C302" s="2" t="s">
        <v>17</v>
      </c>
      <c r="D302" s="2">
        <v>89</v>
      </c>
      <c r="E302" s="3" t="s">
        <v>11</v>
      </c>
      <c r="F302" s="7">
        <v>45016</v>
      </c>
      <c r="G302" s="2">
        <v>90</v>
      </c>
      <c r="H302" s="2">
        <v>4.5999999999999996</v>
      </c>
    </row>
    <row r="303" spans="2:8" x14ac:dyDescent="0.25">
      <c r="B303" s="2" t="s">
        <v>325</v>
      </c>
      <c r="C303" s="2" t="s">
        <v>22</v>
      </c>
      <c r="D303" s="2">
        <v>87</v>
      </c>
      <c r="E303" s="3" t="s">
        <v>10</v>
      </c>
      <c r="F303" s="7">
        <v>45016</v>
      </c>
      <c r="G303" s="2">
        <v>225</v>
      </c>
      <c r="H303" s="2">
        <v>2.9</v>
      </c>
    </row>
    <row r="304" spans="2:8" x14ac:dyDescent="0.25">
      <c r="B304" s="2" t="s">
        <v>326</v>
      </c>
      <c r="C304" s="2" t="s">
        <v>20</v>
      </c>
      <c r="D304" s="2">
        <v>60</v>
      </c>
      <c r="E304" s="3" t="s">
        <v>9</v>
      </c>
      <c r="F304" s="7">
        <v>45017</v>
      </c>
      <c r="G304" s="2">
        <v>215</v>
      </c>
      <c r="H304" s="2">
        <v>3.2</v>
      </c>
    </row>
    <row r="305" spans="2:8" x14ac:dyDescent="0.25">
      <c r="B305" s="2" t="s">
        <v>327</v>
      </c>
      <c r="C305" s="2" t="s">
        <v>21</v>
      </c>
      <c r="D305" s="2">
        <v>42</v>
      </c>
      <c r="E305" s="3" t="s">
        <v>11</v>
      </c>
      <c r="F305" s="7">
        <v>45017</v>
      </c>
      <c r="G305" s="2">
        <v>45</v>
      </c>
      <c r="H305" s="2">
        <v>1.5</v>
      </c>
    </row>
    <row r="306" spans="2:8" x14ac:dyDescent="0.25">
      <c r="B306" s="2" t="s">
        <v>328</v>
      </c>
      <c r="C306" s="2" t="s">
        <v>18</v>
      </c>
      <c r="D306" s="2">
        <v>99</v>
      </c>
      <c r="E306" s="3" t="s">
        <v>9</v>
      </c>
      <c r="F306" s="7">
        <v>45017</v>
      </c>
      <c r="G306" s="2">
        <v>74</v>
      </c>
      <c r="H306" s="2">
        <v>4</v>
      </c>
    </row>
    <row r="307" spans="2:8" x14ac:dyDescent="0.25">
      <c r="B307" s="2" t="s">
        <v>329</v>
      </c>
      <c r="C307" s="2" t="s">
        <v>23</v>
      </c>
      <c r="D307" s="2">
        <v>20</v>
      </c>
      <c r="E307" s="3" t="s">
        <v>11</v>
      </c>
      <c r="F307" s="7">
        <v>45017</v>
      </c>
      <c r="G307" s="2">
        <v>60</v>
      </c>
      <c r="H307" s="2">
        <v>3.6</v>
      </c>
    </row>
    <row r="308" spans="2:8" x14ac:dyDescent="0.25">
      <c r="B308" s="2" t="s">
        <v>330</v>
      </c>
      <c r="C308" s="2" t="s">
        <v>14</v>
      </c>
      <c r="D308" s="2">
        <v>65</v>
      </c>
      <c r="E308" s="3" t="s">
        <v>9</v>
      </c>
      <c r="F308" s="7">
        <v>45017</v>
      </c>
      <c r="G308" s="2">
        <v>64</v>
      </c>
      <c r="H308" s="2">
        <v>3.7</v>
      </c>
    </row>
    <row r="309" spans="2:8" x14ac:dyDescent="0.25">
      <c r="B309" s="2" t="s">
        <v>331</v>
      </c>
      <c r="C309" s="2" t="s">
        <v>16</v>
      </c>
      <c r="D309" s="2">
        <v>71</v>
      </c>
      <c r="E309" s="3" t="s">
        <v>10</v>
      </c>
      <c r="F309" s="7">
        <v>45018</v>
      </c>
      <c r="G309" s="2">
        <v>110</v>
      </c>
      <c r="H309" s="2">
        <v>4.8</v>
      </c>
    </row>
    <row r="310" spans="2:8" x14ac:dyDescent="0.25">
      <c r="B310" s="2" t="s">
        <v>332</v>
      </c>
      <c r="C310" s="2" t="s">
        <v>12</v>
      </c>
      <c r="D310" s="2">
        <v>95</v>
      </c>
      <c r="E310" s="3" t="s">
        <v>6</v>
      </c>
      <c r="F310" s="7">
        <v>45018</v>
      </c>
      <c r="G310" s="2">
        <v>52</v>
      </c>
      <c r="H310" s="2">
        <v>1.2</v>
      </c>
    </row>
    <row r="311" spans="2:8" x14ac:dyDescent="0.25">
      <c r="B311" s="2" t="s">
        <v>333</v>
      </c>
      <c r="C311" s="2" t="s">
        <v>23</v>
      </c>
      <c r="D311" s="2">
        <v>81</v>
      </c>
      <c r="E311" s="3" t="s">
        <v>13</v>
      </c>
      <c r="F311" s="7">
        <v>45019</v>
      </c>
      <c r="G311" s="2">
        <v>160</v>
      </c>
      <c r="H311" s="2">
        <v>4.7</v>
      </c>
    </row>
    <row r="312" spans="2:8" x14ac:dyDescent="0.25">
      <c r="B312" s="2" t="s">
        <v>334</v>
      </c>
      <c r="C312" s="2" t="s">
        <v>7</v>
      </c>
      <c r="D312" s="2">
        <v>137</v>
      </c>
      <c r="E312" s="3" t="s">
        <v>13</v>
      </c>
      <c r="F312" s="7">
        <v>45019</v>
      </c>
      <c r="G312" s="2">
        <v>215</v>
      </c>
      <c r="H312" s="2">
        <v>4.7</v>
      </c>
    </row>
    <row r="313" spans="2:8" x14ac:dyDescent="0.25">
      <c r="B313" s="2" t="s">
        <v>335</v>
      </c>
      <c r="C313" s="2" t="s">
        <v>7</v>
      </c>
      <c r="D313" s="2">
        <v>40</v>
      </c>
      <c r="E313" s="3" t="s">
        <v>6</v>
      </c>
      <c r="F313" s="7">
        <v>45019</v>
      </c>
      <c r="G313" s="2">
        <v>220</v>
      </c>
      <c r="H313" s="2">
        <v>4.5</v>
      </c>
    </row>
    <row r="314" spans="2:8" x14ac:dyDescent="0.25">
      <c r="B314" s="2" t="s">
        <v>336</v>
      </c>
      <c r="C314" s="2" t="s">
        <v>18</v>
      </c>
      <c r="D314" s="2">
        <v>111</v>
      </c>
      <c r="E314" s="3" t="s">
        <v>9</v>
      </c>
      <c r="F314" s="7">
        <v>45020</v>
      </c>
      <c r="G314" s="2">
        <v>175</v>
      </c>
      <c r="H314" s="2">
        <v>3.5</v>
      </c>
    </row>
    <row r="315" spans="2:8" x14ac:dyDescent="0.25">
      <c r="B315" s="2" t="s">
        <v>337</v>
      </c>
      <c r="C315" s="2" t="s">
        <v>16</v>
      </c>
      <c r="D315" s="2">
        <v>106</v>
      </c>
      <c r="E315" s="3" t="s">
        <v>9</v>
      </c>
      <c r="F315" s="7">
        <v>45020</v>
      </c>
      <c r="G315" s="2">
        <v>145</v>
      </c>
      <c r="H315" s="2">
        <v>4.0999999999999996</v>
      </c>
    </row>
    <row r="316" spans="2:8" x14ac:dyDescent="0.25">
      <c r="B316" s="2" t="s">
        <v>338</v>
      </c>
      <c r="C316" s="2" t="s">
        <v>21</v>
      </c>
      <c r="D316" s="2">
        <v>133</v>
      </c>
      <c r="E316" s="3" t="s">
        <v>11</v>
      </c>
      <c r="F316" s="7">
        <v>45020</v>
      </c>
      <c r="G316" s="2">
        <v>72</v>
      </c>
      <c r="H316" s="2">
        <v>4.4000000000000004</v>
      </c>
    </row>
    <row r="317" spans="2:8" x14ac:dyDescent="0.25">
      <c r="B317" s="2" t="s">
        <v>339</v>
      </c>
      <c r="C317" s="2" t="s">
        <v>15</v>
      </c>
      <c r="D317" s="2">
        <v>38</v>
      </c>
      <c r="E317" s="3" t="s">
        <v>9</v>
      </c>
      <c r="F317" s="7">
        <v>45021</v>
      </c>
      <c r="G317" s="2">
        <v>81</v>
      </c>
      <c r="H317" s="2">
        <v>3.6</v>
      </c>
    </row>
    <row r="318" spans="2:8" x14ac:dyDescent="0.25">
      <c r="B318" s="2" t="s">
        <v>340</v>
      </c>
      <c r="C318" s="2" t="s">
        <v>19</v>
      </c>
      <c r="D318" s="2">
        <v>130</v>
      </c>
      <c r="E318" s="3" t="s">
        <v>6</v>
      </c>
      <c r="F318" s="7">
        <v>45021</v>
      </c>
      <c r="G318" s="2">
        <v>54</v>
      </c>
      <c r="H318" s="2">
        <v>4.0999999999999996</v>
      </c>
    </row>
    <row r="319" spans="2:8" x14ac:dyDescent="0.25">
      <c r="B319" s="2" t="s">
        <v>341</v>
      </c>
      <c r="C319" s="2" t="s">
        <v>14</v>
      </c>
      <c r="D319" s="2">
        <v>23</v>
      </c>
      <c r="E319" s="3" t="s">
        <v>11</v>
      </c>
      <c r="F319" s="7">
        <v>45021</v>
      </c>
      <c r="G319" s="2">
        <v>105</v>
      </c>
      <c r="H319" s="2">
        <v>4.8</v>
      </c>
    </row>
    <row r="320" spans="2:8" x14ac:dyDescent="0.25">
      <c r="B320" s="2" t="s">
        <v>342</v>
      </c>
      <c r="C320" s="2" t="s">
        <v>19</v>
      </c>
      <c r="D320" s="2">
        <v>124</v>
      </c>
      <c r="E320" s="3" t="s">
        <v>9</v>
      </c>
      <c r="F320" s="7">
        <v>45022</v>
      </c>
      <c r="G320" s="2">
        <v>176</v>
      </c>
      <c r="H320" s="2">
        <v>3.9</v>
      </c>
    </row>
    <row r="321" spans="2:8" x14ac:dyDescent="0.25">
      <c r="B321" s="2" t="s">
        <v>343</v>
      </c>
      <c r="C321" s="2" t="s">
        <v>23</v>
      </c>
      <c r="D321" s="2">
        <v>107</v>
      </c>
      <c r="E321" s="3" t="s">
        <v>9</v>
      </c>
      <c r="F321" s="7">
        <v>45022</v>
      </c>
      <c r="G321" s="2">
        <v>115</v>
      </c>
      <c r="H321" s="2">
        <v>3.8</v>
      </c>
    </row>
    <row r="322" spans="2:8" x14ac:dyDescent="0.25">
      <c r="B322" s="2" t="s">
        <v>344</v>
      </c>
      <c r="C322" s="2" t="s">
        <v>7</v>
      </c>
      <c r="D322" s="2">
        <v>60</v>
      </c>
      <c r="E322" s="3" t="s">
        <v>10</v>
      </c>
      <c r="F322" s="7">
        <v>45022</v>
      </c>
      <c r="G322" s="2">
        <v>116</v>
      </c>
      <c r="H322" s="2">
        <v>3.9</v>
      </c>
    </row>
    <row r="323" spans="2:8" x14ac:dyDescent="0.25">
      <c r="B323" s="2" t="s">
        <v>345</v>
      </c>
      <c r="C323" s="2" t="s">
        <v>7</v>
      </c>
      <c r="D323" s="2">
        <v>158</v>
      </c>
      <c r="E323" s="3" t="s">
        <v>6</v>
      </c>
      <c r="F323" s="7">
        <v>45022</v>
      </c>
      <c r="G323" s="2">
        <v>100</v>
      </c>
      <c r="H323" s="2">
        <v>4.0999999999999996</v>
      </c>
    </row>
    <row r="324" spans="2:8" x14ac:dyDescent="0.25">
      <c r="B324" s="2" t="s">
        <v>346</v>
      </c>
      <c r="C324" s="2" t="s">
        <v>22</v>
      </c>
      <c r="D324" s="2">
        <v>110</v>
      </c>
      <c r="E324" s="3" t="s">
        <v>6</v>
      </c>
      <c r="F324" s="7">
        <v>45023</v>
      </c>
      <c r="G324" s="2">
        <v>36</v>
      </c>
      <c r="H324" s="2">
        <v>2.2000000000000002</v>
      </c>
    </row>
    <row r="325" spans="2:8" x14ac:dyDescent="0.25">
      <c r="B325" s="2" t="s">
        <v>347</v>
      </c>
      <c r="C325" s="2" t="s">
        <v>17</v>
      </c>
      <c r="D325" s="2">
        <v>70</v>
      </c>
      <c r="E325" s="3" t="s">
        <v>6</v>
      </c>
      <c r="F325" s="7">
        <v>45023</v>
      </c>
      <c r="G325" s="2">
        <v>114</v>
      </c>
      <c r="H325" s="2">
        <v>5</v>
      </c>
    </row>
    <row r="326" spans="2:8" x14ac:dyDescent="0.25">
      <c r="B326" s="2" t="s">
        <v>348</v>
      </c>
      <c r="C326" s="2" t="s">
        <v>17</v>
      </c>
      <c r="D326" s="2">
        <v>150</v>
      </c>
      <c r="E326" s="3" t="s">
        <v>10</v>
      </c>
      <c r="F326" s="7">
        <v>45023</v>
      </c>
      <c r="G326" s="2">
        <v>24</v>
      </c>
      <c r="H326" s="2">
        <v>3.8</v>
      </c>
    </row>
    <row r="327" spans="2:8" x14ac:dyDescent="0.25">
      <c r="B327" s="2" t="s">
        <v>349</v>
      </c>
      <c r="C327" s="2" t="s">
        <v>15</v>
      </c>
      <c r="D327" s="2">
        <v>36</v>
      </c>
      <c r="E327" s="3" t="s">
        <v>9</v>
      </c>
      <c r="F327" s="7">
        <v>45023</v>
      </c>
      <c r="G327" s="2">
        <v>135</v>
      </c>
      <c r="H327" s="2">
        <v>4.5999999999999996</v>
      </c>
    </row>
    <row r="328" spans="2:8" x14ac:dyDescent="0.25">
      <c r="B328" s="2" t="s">
        <v>350</v>
      </c>
      <c r="C328" s="2" t="s">
        <v>19</v>
      </c>
      <c r="D328" s="2">
        <v>74</v>
      </c>
      <c r="E328" s="3" t="s">
        <v>9</v>
      </c>
      <c r="F328" s="7">
        <v>45023</v>
      </c>
      <c r="G328" s="2">
        <v>30</v>
      </c>
      <c r="H328" s="2">
        <v>4</v>
      </c>
    </row>
    <row r="329" spans="2:8" x14ac:dyDescent="0.25">
      <c r="B329" s="2" t="s">
        <v>351</v>
      </c>
      <c r="C329" s="2" t="s">
        <v>12</v>
      </c>
      <c r="D329" s="2">
        <v>75</v>
      </c>
      <c r="E329" s="3" t="s">
        <v>9</v>
      </c>
      <c r="F329" s="7">
        <v>45023</v>
      </c>
      <c r="G329" s="2">
        <v>84</v>
      </c>
      <c r="H329" s="2">
        <v>2.8</v>
      </c>
    </row>
    <row r="330" spans="2:8" x14ac:dyDescent="0.25">
      <c r="B330" s="2" t="s">
        <v>352</v>
      </c>
      <c r="C330" s="2" t="s">
        <v>5</v>
      </c>
      <c r="D330" s="2">
        <v>70</v>
      </c>
      <c r="E330" s="3" t="s">
        <v>13</v>
      </c>
      <c r="F330" s="7">
        <v>45023</v>
      </c>
      <c r="G330" s="2">
        <v>42</v>
      </c>
      <c r="H330" s="2">
        <v>4.4000000000000004</v>
      </c>
    </row>
    <row r="331" spans="2:8" x14ac:dyDescent="0.25">
      <c r="B331" s="2" t="s">
        <v>353</v>
      </c>
      <c r="C331" s="2" t="s">
        <v>22</v>
      </c>
      <c r="D331" s="2">
        <v>23</v>
      </c>
      <c r="E331" s="3" t="s">
        <v>6</v>
      </c>
      <c r="F331" s="7">
        <v>45023</v>
      </c>
      <c r="G331" s="2">
        <v>117</v>
      </c>
      <c r="H331" s="2">
        <v>2.4</v>
      </c>
    </row>
    <row r="332" spans="2:8" x14ac:dyDescent="0.25">
      <c r="B332" s="2" t="s">
        <v>354</v>
      </c>
      <c r="C332" s="2" t="s">
        <v>18</v>
      </c>
      <c r="D332" s="2">
        <v>104</v>
      </c>
      <c r="E332" s="3" t="s">
        <v>11</v>
      </c>
      <c r="F332" s="7">
        <v>45023</v>
      </c>
      <c r="G332" s="2">
        <v>164</v>
      </c>
      <c r="H332" s="2">
        <v>4</v>
      </c>
    </row>
    <row r="333" spans="2:8" x14ac:dyDescent="0.25">
      <c r="B333" s="2" t="s">
        <v>355</v>
      </c>
      <c r="C333" s="2" t="s">
        <v>17</v>
      </c>
      <c r="D333" s="2">
        <v>95</v>
      </c>
      <c r="E333" s="3" t="s">
        <v>13</v>
      </c>
      <c r="F333" s="7">
        <v>45024</v>
      </c>
      <c r="G333" s="2">
        <v>123</v>
      </c>
      <c r="H333" s="2">
        <v>4.4000000000000004</v>
      </c>
    </row>
    <row r="334" spans="2:8" x14ac:dyDescent="0.25">
      <c r="B334" s="2" t="s">
        <v>356</v>
      </c>
      <c r="C334" s="2" t="s">
        <v>8</v>
      </c>
      <c r="D334" s="2">
        <v>49</v>
      </c>
      <c r="E334" s="3" t="s">
        <v>10</v>
      </c>
      <c r="F334" s="7">
        <v>45024</v>
      </c>
      <c r="G334" s="2">
        <v>172</v>
      </c>
      <c r="H334" s="2">
        <v>2.9</v>
      </c>
    </row>
    <row r="335" spans="2:8" x14ac:dyDescent="0.25">
      <c r="B335" s="2" t="s">
        <v>357</v>
      </c>
      <c r="C335" s="2" t="s">
        <v>16</v>
      </c>
      <c r="D335" s="2">
        <v>8</v>
      </c>
      <c r="E335" s="3" t="s">
        <v>6</v>
      </c>
      <c r="F335" s="7">
        <v>45024</v>
      </c>
      <c r="G335" s="2">
        <v>20</v>
      </c>
      <c r="H335" s="2">
        <v>4.8</v>
      </c>
    </row>
    <row r="336" spans="2:8" x14ac:dyDescent="0.25">
      <c r="B336" s="2" t="s">
        <v>358</v>
      </c>
      <c r="C336" s="2" t="s">
        <v>17</v>
      </c>
      <c r="D336" s="2">
        <v>157</v>
      </c>
      <c r="E336" s="3" t="s">
        <v>10</v>
      </c>
      <c r="F336" s="7">
        <v>45024</v>
      </c>
      <c r="G336" s="2">
        <v>72</v>
      </c>
      <c r="H336" s="2">
        <v>3.7</v>
      </c>
    </row>
    <row r="337" spans="2:8" x14ac:dyDescent="0.25">
      <c r="B337" s="2" t="s">
        <v>359</v>
      </c>
      <c r="C337" s="2" t="s">
        <v>23</v>
      </c>
      <c r="D337" s="2">
        <v>74</v>
      </c>
      <c r="E337" s="3" t="s">
        <v>9</v>
      </c>
      <c r="F337" s="7">
        <v>45024</v>
      </c>
      <c r="G337" s="2">
        <v>32</v>
      </c>
      <c r="H337" s="2">
        <v>4.8</v>
      </c>
    </row>
    <row r="338" spans="2:8" x14ac:dyDescent="0.25">
      <c r="B338" s="2" t="s">
        <v>360</v>
      </c>
      <c r="C338" s="2" t="s">
        <v>22</v>
      </c>
      <c r="D338" s="2">
        <v>72</v>
      </c>
      <c r="E338" s="3" t="s">
        <v>13</v>
      </c>
      <c r="F338" s="7">
        <v>45024</v>
      </c>
      <c r="G338" s="2">
        <v>140</v>
      </c>
      <c r="H338" s="2">
        <v>3.2</v>
      </c>
    </row>
    <row r="339" spans="2:8" x14ac:dyDescent="0.25">
      <c r="B339" s="2" t="s">
        <v>361</v>
      </c>
      <c r="C339" s="2" t="s">
        <v>23</v>
      </c>
      <c r="D339" s="2">
        <v>79</v>
      </c>
      <c r="E339" s="3" t="s">
        <v>9</v>
      </c>
      <c r="F339" s="7">
        <v>45025</v>
      </c>
      <c r="G339" s="2">
        <v>120</v>
      </c>
      <c r="H339" s="2">
        <v>4.9000000000000004</v>
      </c>
    </row>
    <row r="340" spans="2:8" x14ac:dyDescent="0.25">
      <c r="B340" s="2" t="s">
        <v>362</v>
      </c>
      <c r="C340" s="2" t="s">
        <v>19</v>
      </c>
      <c r="D340" s="2">
        <v>23</v>
      </c>
      <c r="E340" s="3" t="s">
        <v>9</v>
      </c>
      <c r="F340" s="7">
        <v>45025</v>
      </c>
      <c r="G340" s="2">
        <v>86</v>
      </c>
      <c r="H340" s="2">
        <v>2.2000000000000002</v>
      </c>
    </row>
    <row r="341" spans="2:8" x14ac:dyDescent="0.25">
      <c r="B341" s="2" t="s">
        <v>363</v>
      </c>
      <c r="C341" s="2" t="s">
        <v>12</v>
      </c>
      <c r="D341" s="2">
        <v>69</v>
      </c>
      <c r="E341" s="3" t="s">
        <v>9</v>
      </c>
      <c r="F341" s="7">
        <v>45025</v>
      </c>
      <c r="G341" s="2">
        <v>132</v>
      </c>
      <c r="H341" s="2">
        <v>5</v>
      </c>
    </row>
    <row r="342" spans="2:8" x14ac:dyDescent="0.25">
      <c r="B342" s="2" t="s">
        <v>364</v>
      </c>
      <c r="C342" s="2" t="s">
        <v>7</v>
      </c>
      <c r="D342" s="2">
        <v>64</v>
      </c>
      <c r="E342" s="3" t="s">
        <v>9</v>
      </c>
      <c r="F342" s="7">
        <v>45025</v>
      </c>
      <c r="G342" s="2">
        <v>80</v>
      </c>
      <c r="H342" s="2">
        <v>3.3</v>
      </c>
    </row>
    <row r="343" spans="2:8" x14ac:dyDescent="0.25">
      <c r="B343" s="2" t="s">
        <v>365</v>
      </c>
      <c r="C343" s="2" t="s">
        <v>24</v>
      </c>
      <c r="D343" s="2">
        <v>47</v>
      </c>
      <c r="E343" s="3" t="s">
        <v>10</v>
      </c>
      <c r="F343" s="7">
        <v>45025</v>
      </c>
      <c r="G343" s="2">
        <v>132</v>
      </c>
      <c r="H343" s="2">
        <v>3.7</v>
      </c>
    </row>
    <row r="344" spans="2:8" x14ac:dyDescent="0.25">
      <c r="B344" s="2" t="s">
        <v>366</v>
      </c>
      <c r="C344" s="2" t="s">
        <v>23</v>
      </c>
      <c r="D344" s="2">
        <v>55</v>
      </c>
      <c r="E344" s="3" t="s">
        <v>13</v>
      </c>
      <c r="F344" s="7">
        <v>45025</v>
      </c>
      <c r="G344" s="2">
        <v>27</v>
      </c>
      <c r="H344" s="2">
        <v>3.7</v>
      </c>
    </row>
    <row r="345" spans="2:8" x14ac:dyDescent="0.25">
      <c r="B345" s="2" t="s">
        <v>367</v>
      </c>
      <c r="C345" s="2" t="s">
        <v>18</v>
      </c>
      <c r="D345" s="2">
        <v>104</v>
      </c>
      <c r="E345" s="3" t="s">
        <v>13</v>
      </c>
      <c r="F345" s="7">
        <v>45026</v>
      </c>
      <c r="G345" s="2">
        <v>68</v>
      </c>
      <c r="H345" s="2">
        <v>3.6</v>
      </c>
    </row>
    <row r="346" spans="2:8" x14ac:dyDescent="0.25">
      <c r="B346" s="2" t="s">
        <v>368</v>
      </c>
      <c r="C346" s="2" t="s">
        <v>24</v>
      </c>
      <c r="D346" s="2">
        <v>116</v>
      </c>
      <c r="E346" s="3" t="s">
        <v>9</v>
      </c>
      <c r="F346" s="7">
        <v>45026</v>
      </c>
      <c r="G346" s="2">
        <v>22</v>
      </c>
      <c r="H346" s="2">
        <v>4.7</v>
      </c>
    </row>
    <row r="347" spans="2:8" x14ac:dyDescent="0.25">
      <c r="B347" s="2" t="s">
        <v>369</v>
      </c>
      <c r="C347" s="2" t="s">
        <v>19</v>
      </c>
      <c r="D347" s="2">
        <v>99</v>
      </c>
      <c r="E347" s="3" t="s">
        <v>13</v>
      </c>
      <c r="F347" s="7">
        <v>45026</v>
      </c>
      <c r="G347" s="2">
        <v>42</v>
      </c>
      <c r="H347" s="2">
        <v>3.1</v>
      </c>
    </row>
    <row r="348" spans="2:8" x14ac:dyDescent="0.25">
      <c r="B348" s="2" t="s">
        <v>370</v>
      </c>
      <c r="C348" s="2" t="s">
        <v>18</v>
      </c>
      <c r="D348" s="2">
        <v>84</v>
      </c>
      <c r="E348" s="3" t="s">
        <v>13</v>
      </c>
      <c r="F348" s="7">
        <v>45027</v>
      </c>
      <c r="G348" s="2">
        <v>38</v>
      </c>
      <c r="H348" s="2">
        <v>3.3</v>
      </c>
    </row>
    <row r="349" spans="2:8" x14ac:dyDescent="0.25">
      <c r="B349" s="2" t="s">
        <v>371</v>
      </c>
      <c r="C349" s="2" t="s">
        <v>16</v>
      </c>
      <c r="D349" s="2">
        <v>159</v>
      </c>
      <c r="E349" s="3" t="s">
        <v>13</v>
      </c>
      <c r="F349" s="7">
        <v>45027</v>
      </c>
      <c r="G349" s="2">
        <v>42</v>
      </c>
      <c r="H349" s="2">
        <v>4.5</v>
      </c>
    </row>
    <row r="350" spans="2:8" x14ac:dyDescent="0.25">
      <c r="B350" s="2" t="s">
        <v>372</v>
      </c>
      <c r="C350" s="2" t="s">
        <v>15</v>
      </c>
      <c r="D350" s="2">
        <v>25</v>
      </c>
      <c r="E350" s="3" t="s">
        <v>10</v>
      </c>
      <c r="F350" s="7">
        <v>45027</v>
      </c>
      <c r="G350" s="2">
        <v>75</v>
      </c>
      <c r="H350" s="2">
        <v>3.9</v>
      </c>
    </row>
    <row r="351" spans="2:8" x14ac:dyDescent="0.25">
      <c r="B351" s="2" t="s">
        <v>373</v>
      </c>
      <c r="C351" s="2" t="s">
        <v>16</v>
      </c>
      <c r="D351" s="2">
        <v>53</v>
      </c>
      <c r="E351" s="3" t="s">
        <v>6</v>
      </c>
      <c r="F351" s="7">
        <v>45028</v>
      </c>
      <c r="G351" s="2">
        <v>23</v>
      </c>
      <c r="H351" s="2">
        <v>4.9000000000000004</v>
      </c>
    </row>
    <row r="352" spans="2:8" x14ac:dyDescent="0.25">
      <c r="B352" s="2" t="s">
        <v>374</v>
      </c>
      <c r="C352" s="2" t="s">
        <v>16</v>
      </c>
      <c r="D352" s="2">
        <v>89</v>
      </c>
      <c r="E352" s="3" t="s">
        <v>10</v>
      </c>
      <c r="F352" s="7">
        <v>45028</v>
      </c>
      <c r="G352" s="2">
        <v>200</v>
      </c>
      <c r="H352" s="2">
        <v>4.8</v>
      </c>
    </row>
    <row r="353" spans="2:8" x14ac:dyDescent="0.25">
      <c r="B353" s="2" t="s">
        <v>375</v>
      </c>
      <c r="C353" s="2" t="s">
        <v>21</v>
      </c>
      <c r="D353" s="2">
        <v>73</v>
      </c>
      <c r="E353" s="3" t="s">
        <v>9</v>
      </c>
      <c r="F353" s="7">
        <v>45029</v>
      </c>
      <c r="G353" s="2">
        <v>45</v>
      </c>
      <c r="H353" s="2">
        <v>3.6</v>
      </c>
    </row>
    <row r="354" spans="2:8" x14ac:dyDescent="0.25">
      <c r="B354" s="2" t="s">
        <v>376</v>
      </c>
      <c r="C354" s="2" t="s">
        <v>19</v>
      </c>
      <c r="D354" s="2">
        <v>50</v>
      </c>
      <c r="E354" s="3" t="s">
        <v>9</v>
      </c>
      <c r="F354" s="7">
        <v>45029</v>
      </c>
      <c r="G354" s="2">
        <v>105</v>
      </c>
      <c r="H354" s="2">
        <v>3.5</v>
      </c>
    </row>
    <row r="355" spans="2:8" x14ac:dyDescent="0.25">
      <c r="B355" s="2" t="s">
        <v>377</v>
      </c>
      <c r="C355" s="2" t="s">
        <v>8</v>
      </c>
      <c r="D355" s="2">
        <v>98</v>
      </c>
      <c r="E355" s="3" t="s">
        <v>9</v>
      </c>
      <c r="F355" s="7">
        <v>45029</v>
      </c>
      <c r="G355" s="2">
        <v>22</v>
      </c>
      <c r="H355" s="2">
        <v>3.8</v>
      </c>
    </row>
    <row r="356" spans="2:8" x14ac:dyDescent="0.25">
      <c r="B356" s="2" t="s">
        <v>378</v>
      </c>
      <c r="C356" s="2" t="s">
        <v>14</v>
      </c>
      <c r="D356" s="2">
        <v>114</v>
      </c>
      <c r="E356" s="3" t="s">
        <v>13</v>
      </c>
      <c r="F356" s="7">
        <v>45030</v>
      </c>
      <c r="G356" s="2">
        <v>126</v>
      </c>
      <c r="H356" s="2">
        <v>4.4000000000000004</v>
      </c>
    </row>
    <row r="357" spans="2:8" x14ac:dyDescent="0.25">
      <c r="B357" s="2" t="s">
        <v>379</v>
      </c>
      <c r="C357" s="2" t="s">
        <v>7</v>
      </c>
      <c r="D357" s="2">
        <v>67</v>
      </c>
      <c r="E357" s="3" t="s">
        <v>13</v>
      </c>
      <c r="F357" s="7">
        <v>45030</v>
      </c>
      <c r="G357" s="2">
        <v>35</v>
      </c>
      <c r="H357" s="2">
        <v>3</v>
      </c>
    </row>
    <row r="358" spans="2:8" x14ac:dyDescent="0.25">
      <c r="B358" s="2" t="s">
        <v>380</v>
      </c>
      <c r="C358" s="2" t="s">
        <v>23</v>
      </c>
      <c r="D358" s="2">
        <v>91</v>
      </c>
      <c r="E358" s="3" t="s">
        <v>9</v>
      </c>
      <c r="F358" s="7">
        <v>45030</v>
      </c>
      <c r="G358" s="2">
        <v>84</v>
      </c>
      <c r="H358" s="2">
        <v>4.5</v>
      </c>
    </row>
    <row r="359" spans="2:8" x14ac:dyDescent="0.25">
      <c r="B359" s="2" t="s">
        <v>381</v>
      </c>
      <c r="C359" s="2" t="s">
        <v>5</v>
      </c>
      <c r="D359" s="2">
        <v>67</v>
      </c>
      <c r="E359" s="3" t="s">
        <v>9</v>
      </c>
      <c r="F359" s="7">
        <v>45031</v>
      </c>
      <c r="G359" s="2">
        <v>172</v>
      </c>
      <c r="H359" s="2">
        <v>4.5</v>
      </c>
    </row>
    <row r="360" spans="2:8" x14ac:dyDescent="0.25">
      <c r="B360" s="2" t="s">
        <v>382</v>
      </c>
      <c r="C360" s="2" t="s">
        <v>14</v>
      </c>
      <c r="D360" s="2">
        <v>139</v>
      </c>
      <c r="E360" s="3" t="s">
        <v>10</v>
      </c>
      <c r="F360" s="7">
        <v>45031</v>
      </c>
      <c r="G360" s="2">
        <v>114</v>
      </c>
      <c r="H360" s="2">
        <v>4</v>
      </c>
    </row>
    <row r="361" spans="2:8" x14ac:dyDescent="0.25">
      <c r="B361" s="2" t="s">
        <v>383</v>
      </c>
      <c r="C361" s="2" t="s">
        <v>5</v>
      </c>
      <c r="D361" s="2">
        <v>102</v>
      </c>
      <c r="E361" s="3" t="s">
        <v>10</v>
      </c>
      <c r="F361" s="7">
        <v>45031</v>
      </c>
      <c r="G361" s="2">
        <v>60</v>
      </c>
      <c r="H361" s="2">
        <v>3.8</v>
      </c>
    </row>
    <row r="362" spans="2:8" x14ac:dyDescent="0.25">
      <c r="B362" s="2" t="s">
        <v>384</v>
      </c>
      <c r="C362" s="2" t="s">
        <v>17</v>
      </c>
      <c r="D362" s="2">
        <v>108</v>
      </c>
      <c r="E362" s="3" t="s">
        <v>11</v>
      </c>
      <c r="F362" s="7">
        <v>45031</v>
      </c>
      <c r="G362" s="2">
        <v>26</v>
      </c>
      <c r="H362" s="2">
        <v>3.3</v>
      </c>
    </row>
    <row r="363" spans="2:8" x14ac:dyDescent="0.25">
      <c r="B363" s="2" t="s">
        <v>385</v>
      </c>
      <c r="C363" s="2" t="s">
        <v>15</v>
      </c>
      <c r="D363" s="2">
        <v>66</v>
      </c>
      <c r="E363" s="3" t="s">
        <v>9</v>
      </c>
      <c r="F363" s="7">
        <v>45031</v>
      </c>
      <c r="G363" s="2">
        <v>210</v>
      </c>
      <c r="H363" s="2">
        <v>4.3</v>
      </c>
    </row>
    <row r="364" spans="2:8" x14ac:dyDescent="0.25">
      <c r="B364" s="2" t="s">
        <v>386</v>
      </c>
      <c r="C364" s="2" t="s">
        <v>22</v>
      </c>
      <c r="D364" s="2">
        <v>85</v>
      </c>
      <c r="E364" s="3" t="s">
        <v>10</v>
      </c>
      <c r="F364" s="7">
        <v>45031</v>
      </c>
      <c r="G364" s="2">
        <v>129</v>
      </c>
      <c r="H364" s="2">
        <v>4.2</v>
      </c>
    </row>
    <row r="365" spans="2:8" x14ac:dyDescent="0.25">
      <c r="B365" s="2" t="s">
        <v>387</v>
      </c>
      <c r="C365" s="2" t="s">
        <v>7</v>
      </c>
      <c r="D365" s="2">
        <v>55</v>
      </c>
      <c r="E365" s="3" t="s">
        <v>11</v>
      </c>
      <c r="F365" s="7">
        <v>45031</v>
      </c>
      <c r="G365" s="2">
        <v>215</v>
      </c>
      <c r="H365" s="2">
        <v>4.3</v>
      </c>
    </row>
    <row r="366" spans="2:8" x14ac:dyDescent="0.25">
      <c r="B366" s="2" t="s">
        <v>388</v>
      </c>
      <c r="C366" s="2" t="s">
        <v>17</v>
      </c>
      <c r="D366" s="2">
        <v>17</v>
      </c>
      <c r="E366" s="3" t="s">
        <v>6</v>
      </c>
      <c r="F366" s="7">
        <v>45031</v>
      </c>
      <c r="G366" s="2">
        <v>69</v>
      </c>
      <c r="H366" s="2">
        <v>4.5999999999999996</v>
      </c>
    </row>
    <row r="367" spans="2:8" x14ac:dyDescent="0.25">
      <c r="B367" s="2" t="s">
        <v>389</v>
      </c>
      <c r="C367" s="2" t="s">
        <v>7</v>
      </c>
      <c r="D367" s="2">
        <v>128</v>
      </c>
      <c r="E367" s="3" t="s">
        <v>6</v>
      </c>
      <c r="F367" s="7">
        <v>45031</v>
      </c>
      <c r="G367" s="2">
        <v>140</v>
      </c>
      <c r="H367" s="2">
        <v>3</v>
      </c>
    </row>
    <row r="368" spans="2:8" x14ac:dyDescent="0.25">
      <c r="B368" s="2" t="s">
        <v>390</v>
      </c>
      <c r="C368" s="2" t="s">
        <v>19</v>
      </c>
      <c r="D368" s="2">
        <v>45</v>
      </c>
      <c r="E368" s="3" t="s">
        <v>11</v>
      </c>
      <c r="F368" s="7">
        <v>45032</v>
      </c>
      <c r="G368" s="2">
        <v>156</v>
      </c>
      <c r="H368" s="2">
        <v>2.7</v>
      </c>
    </row>
    <row r="369" spans="2:8" x14ac:dyDescent="0.25">
      <c r="B369" s="2" t="s">
        <v>391</v>
      </c>
      <c r="C369" s="2" t="s">
        <v>17</v>
      </c>
      <c r="D369" s="2">
        <v>41</v>
      </c>
      <c r="E369" s="3" t="s">
        <v>6</v>
      </c>
      <c r="F369" s="7">
        <v>45032</v>
      </c>
      <c r="G369" s="2">
        <v>164</v>
      </c>
      <c r="H369" s="2">
        <v>3.1</v>
      </c>
    </row>
    <row r="370" spans="2:8" x14ac:dyDescent="0.25">
      <c r="B370" s="2" t="s">
        <v>392</v>
      </c>
      <c r="C370" s="2" t="s">
        <v>24</v>
      </c>
      <c r="D370" s="2">
        <v>49</v>
      </c>
      <c r="E370" s="3" t="s">
        <v>6</v>
      </c>
      <c r="F370" s="7">
        <v>45032</v>
      </c>
      <c r="G370" s="2">
        <v>195</v>
      </c>
      <c r="H370" s="2">
        <v>2.6</v>
      </c>
    </row>
    <row r="371" spans="2:8" x14ac:dyDescent="0.25">
      <c r="B371" s="2" t="s">
        <v>393</v>
      </c>
      <c r="C371" s="2" t="s">
        <v>12</v>
      </c>
      <c r="D371" s="2">
        <v>21</v>
      </c>
      <c r="E371" s="3" t="s">
        <v>13</v>
      </c>
      <c r="F371" s="7">
        <v>45032</v>
      </c>
      <c r="G371" s="2">
        <v>74</v>
      </c>
      <c r="H371" s="2">
        <v>4.5999999999999996</v>
      </c>
    </row>
    <row r="372" spans="2:8" x14ac:dyDescent="0.25">
      <c r="B372" s="2" t="s">
        <v>394</v>
      </c>
      <c r="C372" s="2" t="s">
        <v>16</v>
      </c>
      <c r="D372" s="2">
        <v>133</v>
      </c>
      <c r="E372" s="3" t="s">
        <v>11</v>
      </c>
      <c r="F372" s="7">
        <v>45032</v>
      </c>
      <c r="G372" s="2">
        <v>100</v>
      </c>
      <c r="H372" s="2">
        <v>4</v>
      </c>
    </row>
    <row r="373" spans="2:8" x14ac:dyDescent="0.25">
      <c r="B373" s="2" t="s">
        <v>395</v>
      </c>
      <c r="C373" s="2" t="s">
        <v>20</v>
      </c>
      <c r="D373" s="2">
        <v>135</v>
      </c>
      <c r="E373" s="3" t="s">
        <v>9</v>
      </c>
      <c r="F373" s="7">
        <v>45032</v>
      </c>
      <c r="G373" s="2">
        <v>185</v>
      </c>
      <c r="H373" s="2">
        <v>4.5</v>
      </c>
    </row>
    <row r="374" spans="2:8" x14ac:dyDescent="0.25">
      <c r="B374" s="2" t="s">
        <v>396</v>
      </c>
      <c r="C374" s="2" t="s">
        <v>14</v>
      </c>
      <c r="D374" s="2">
        <v>69</v>
      </c>
      <c r="E374" s="3" t="s">
        <v>11</v>
      </c>
      <c r="F374" s="7">
        <v>45032</v>
      </c>
      <c r="G374" s="2">
        <v>130</v>
      </c>
      <c r="H374" s="2">
        <v>1.9</v>
      </c>
    </row>
    <row r="375" spans="2:8" x14ac:dyDescent="0.25">
      <c r="B375" s="2" t="s">
        <v>397</v>
      </c>
      <c r="C375" s="2" t="s">
        <v>18</v>
      </c>
      <c r="D375" s="2">
        <v>110</v>
      </c>
      <c r="E375" s="3" t="s">
        <v>13</v>
      </c>
      <c r="F375" s="7">
        <v>45033</v>
      </c>
      <c r="G375" s="2">
        <v>21</v>
      </c>
      <c r="H375" s="2">
        <v>2.6</v>
      </c>
    </row>
    <row r="376" spans="2:8" x14ac:dyDescent="0.25">
      <c r="B376" s="2" t="s">
        <v>398</v>
      </c>
      <c r="C376" s="2" t="s">
        <v>5</v>
      </c>
      <c r="D376" s="2">
        <v>64</v>
      </c>
      <c r="E376" s="3" t="s">
        <v>10</v>
      </c>
      <c r="F376" s="7">
        <v>45033</v>
      </c>
      <c r="G376" s="2">
        <v>88</v>
      </c>
      <c r="H376" s="2">
        <v>4.3</v>
      </c>
    </row>
    <row r="377" spans="2:8" x14ac:dyDescent="0.25">
      <c r="B377" s="2" t="s">
        <v>399</v>
      </c>
      <c r="C377" s="2" t="s">
        <v>23</v>
      </c>
      <c r="D377" s="2">
        <v>105</v>
      </c>
      <c r="E377" s="3" t="s">
        <v>6</v>
      </c>
      <c r="F377" s="7">
        <v>45033</v>
      </c>
      <c r="G377" s="2">
        <v>35</v>
      </c>
      <c r="H377" s="2">
        <v>4.4000000000000004</v>
      </c>
    </row>
    <row r="378" spans="2:8" x14ac:dyDescent="0.25">
      <c r="B378" s="2" t="s">
        <v>400</v>
      </c>
      <c r="C378" s="2" t="s">
        <v>5</v>
      </c>
      <c r="D378" s="2">
        <v>165</v>
      </c>
      <c r="E378" s="3" t="s">
        <v>9</v>
      </c>
      <c r="F378" s="7">
        <v>45033</v>
      </c>
      <c r="G378" s="2">
        <v>68</v>
      </c>
      <c r="H378" s="2">
        <v>4.3</v>
      </c>
    </row>
    <row r="379" spans="2:8" x14ac:dyDescent="0.25">
      <c r="B379" s="2" t="s">
        <v>401</v>
      </c>
      <c r="C379" s="2" t="s">
        <v>19</v>
      </c>
      <c r="D379" s="2">
        <v>125</v>
      </c>
      <c r="E379" s="3" t="s">
        <v>9</v>
      </c>
      <c r="F379" s="7">
        <v>45033</v>
      </c>
      <c r="G379" s="2">
        <v>148</v>
      </c>
      <c r="H379" s="2">
        <v>4.5</v>
      </c>
    </row>
    <row r="380" spans="2:8" x14ac:dyDescent="0.25">
      <c r="B380" s="2" t="s">
        <v>402</v>
      </c>
      <c r="C380" s="2" t="s">
        <v>23</v>
      </c>
      <c r="D380" s="2">
        <v>88</v>
      </c>
      <c r="E380" s="3" t="s">
        <v>10</v>
      </c>
      <c r="F380" s="7">
        <v>45034</v>
      </c>
      <c r="G380" s="2">
        <v>81</v>
      </c>
      <c r="H380" s="2">
        <v>4.2</v>
      </c>
    </row>
    <row r="381" spans="2:8" x14ac:dyDescent="0.25">
      <c r="B381" s="2" t="s">
        <v>403</v>
      </c>
      <c r="C381" s="2" t="s">
        <v>14</v>
      </c>
      <c r="D381" s="2">
        <v>6</v>
      </c>
      <c r="E381" s="3" t="s">
        <v>10</v>
      </c>
      <c r="F381" s="7">
        <v>45034</v>
      </c>
      <c r="G381" s="2">
        <v>75</v>
      </c>
      <c r="H381" s="2">
        <v>3.9</v>
      </c>
    </row>
    <row r="382" spans="2:8" x14ac:dyDescent="0.25">
      <c r="B382" s="2" t="s">
        <v>404</v>
      </c>
      <c r="C382" s="2" t="s">
        <v>22</v>
      </c>
      <c r="D382" s="2">
        <v>69</v>
      </c>
      <c r="E382" s="3" t="s">
        <v>11</v>
      </c>
      <c r="F382" s="7">
        <v>45035</v>
      </c>
      <c r="G382" s="2">
        <v>32</v>
      </c>
      <c r="H382" s="2">
        <v>3.6</v>
      </c>
    </row>
    <row r="383" spans="2:8" x14ac:dyDescent="0.25">
      <c r="B383" s="2" t="s">
        <v>405</v>
      </c>
      <c r="C383" s="2" t="s">
        <v>17</v>
      </c>
      <c r="D383" s="2">
        <v>107</v>
      </c>
      <c r="E383" s="3" t="s">
        <v>11</v>
      </c>
      <c r="F383" s="7">
        <v>45035</v>
      </c>
      <c r="G383" s="2">
        <v>156</v>
      </c>
      <c r="H383" s="2">
        <v>3.8</v>
      </c>
    </row>
    <row r="384" spans="2:8" x14ac:dyDescent="0.25">
      <c r="B384" s="2" t="s">
        <v>406</v>
      </c>
      <c r="C384" s="2" t="s">
        <v>12</v>
      </c>
      <c r="D384" s="2">
        <v>90</v>
      </c>
      <c r="E384" s="3" t="s">
        <v>9</v>
      </c>
      <c r="F384" s="7">
        <v>45035</v>
      </c>
      <c r="G384" s="2">
        <v>99</v>
      </c>
      <c r="H384" s="2">
        <v>4.9000000000000004</v>
      </c>
    </row>
    <row r="385" spans="2:8" x14ac:dyDescent="0.25">
      <c r="B385" s="2" t="s">
        <v>407</v>
      </c>
      <c r="C385" s="2" t="s">
        <v>20</v>
      </c>
      <c r="D385" s="2">
        <v>120</v>
      </c>
      <c r="E385" s="3" t="s">
        <v>6</v>
      </c>
      <c r="F385" s="7">
        <v>45035</v>
      </c>
      <c r="G385" s="2">
        <v>26</v>
      </c>
      <c r="H385" s="2">
        <v>4</v>
      </c>
    </row>
    <row r="386" spans="2:8" x14ac:dyDescent="0.25">
      <c r="B386" s="2" t="s">
        <v>408</v>
      </c>
      <c r="C386" s="2" t="s">
        <v>8</v>
      </c>
      <c r="D386" s="2">
        <v>47</v>
      </c>
      <c r="E386" s="3" t="s">
        <v>11</v>
      </c>
      <c r="F386" s="7">
        <v>45035</v>
      </c>
      <c r="G386" s="2">
        <v>84</v>
      </c>
      <c r="H386" s="2">
        <v>4.0999999999999996</v>
      </c>
    </row>
    <row r="387" spans="2:8" x14ac:dyDescent="0.25">
      <c r="B387" s="2" t="s">
        <v>409</v>
      </c>
      <c r="C387" s="2" t="s">
        <v>21</v>
      </c>
      <c r="D387" s="2">
        <v>60</v>
      </c>
      <c r="E387" s="3" t="s">
        <v>6</v>
      </c>
      <c r="F387" s="7">
        <v>45035</v>
      </c>
      <c r="G387" s="2">
        <v>84</v>
      </c>
      <c r="H387" s="2">
        <v>4.8</v>
      </c>
    </row>
    <row r="388" spans="2:8" x14ac:dyDescent="0.25">
      <c r="B388" s="2" t="s">
        <v>410</v>
      </c>
      <c r="C388" s="2" t="s">
        <v>7</v>
      </c>
      <c r="D388" s="2">
        <v>64</v>
      </c>
      <c r="E388" s="3" t="s">
        <v>9</v>
      </c>
      <c r="F388" s="7">
        <v>45035</v>
      </c>
      <c r="G388" s="2">
        <v>170</v>
      </c>
      <c r="H388" s="2">
        <v>2.2999999999999998</v>
      </c>
    </row>
    <row r="389" spans="2:8" x14ac:dyDescent="0.25">
      <c r="B389" s="2" t="s">
        <v>411</v>
      </c>
      <c r="C389" s="2" t="s">
        <v>5</v>
      </c>
      <c r="D389" s="2">
        <v>62</v>
      </c>
      <c r="E389" s="3" t="s">
        <v>11</v>
      </c>
      <c r="F389" s="7">
        <v>45035</v>
      </c>
      <c r="G389" s="2">
        <v>35</v>
      </c>
      <c r="H389" s="2">
        <v>4.4000000000000004</v>
      </c>
    </row>
    <row r="390" spans="2:8" x14ac:dyDescent="0.25">
      <c r="B390" s="2" t="s">
        <v>412</v>
      </c>
      <c r="C390" s="2" t="s">
        <v>18</v>
      </c>
      <c r="D390" s="2">
        <v>88</v>
      </c>
      <c r="E390" s="3" t="s">
        <v>11</v>
      </c>
      <c r="F390" s="7">
        <v>45036</v>
      </c>
      <c r="G390" s="2">
        <v>35</v>
      </c>
      <c r="H390" s="2">
        <v>3.8</v>
      </c>
    </row>
    <row r="391" spans="2:8" x14ac:dyDescent="0.25">
      <c r="B391" s="2" t="s">
        <v>413</v>
      </c>
      <c r="C391" s="2" t="s">
        <v>19</v>
      </c>
      <c r="D391" s="2">
        <v>116</v>
      </c>
      <c r="E391" s="3" t="s">
        <v>11</v>
      </c>
      <c r="F391" s="7">
        <v>45036</v>
      </c>
      <c r="G391" s="2">
        <v>132</v>
      </c>
      <c r="H391" s="2">
        <v>5</v>
      </c>
    </row>
    <row r="392" spans="2:8" x14ac:dyDescent="0.25">
      <c r="B392" s="2" t="s">
        <v>414</v>
      </c>
      <c r="C392" s="2" t="s">
        <v>12</v>
      </c>
      <c r="D392" s="2">
        <v>82</v>
      </c>
      <c r="E392" s="3" t="s">
        <v>10</v>
      </c>
      <c r="F392" s="7">
        <v>45037</v>
      </c>
      <c r="G392" s="2">
        <v>144</v>
      </c>
      <c r="H392" s="2">
        <v>3.3</v>
      </c>
    </row>
    <row r="393" spans="2:8" x14ac:dyDescent="0.25">
      <c r="B393" s="2" t="s">
        <v>415</v>
      </c>
      <c r="C393" s="2" t="s">
        <v>5</v>
      </c>
      <c r="D393" s="2">
        <v>99</v>
      </c>
      <c r="E393" s="3" t="s">
        <v>9</v>
      </c>
      <c r="F393" s="7">
        <v>45037</v>
      </c>
      <c r="G393" s="2">
        <v>48</v>
      </c>
      <c r="H393" s="2">
        <v>5</v>
      </c>
    </row>
    <row r="394" spans="2:8" x14ac:dyDescent="0.25">
      <c r="B394" s="2" t="s">
        <v>416</v>
      </c>
      <c r="C394" s="2" t="s">
        <v>5</v>
      </c>
      <c r="D394" s="2">
        <v>55</v>
      </c>
      <c r="E394" s="3" t="s">
        <v>10</v>
      </c>
      <c r="F394" s="7">
        <v>45037</v>
      </c>
      <c r="G394" s="2">
        <v>200</v>
      </c>
      <c r="H394" s="2">
        <v>2.2999999999999998</v>
      </c>
    </row>
    <row r="395" spans="2:8" x14ac:dyDescent="0.25">
      <c r="B395" s="2" t="s">
        <v>417</v>
      </c>
      <c r="C395" s="2" t="s">
        <v>7</v>
      </c>
      <c r="D395" s="2">
        <v>61</v>
      </c>
      <c r="E395" s="3" t="s">
        <v>6</v>
      </c>
      <c r="F395" s="7">
        <v>45037</v>
      </c>
      <c r="G395" s="2">
        <v>38</v>
      </c>
      <c r="H395" s="2">
        <v>4.8</v>
      </c>
    </row>
    <row r="396" spans="2:8" x14ac:dyDescent="0.25">
      <c r="B396" s="2" t="s">
        <v>418</v>
      </c>
      <c r="C396" s="2" t="s">
        <v>19</v>
      </c>
      <c r="D396" s="2">
        <v>36</v>
      </c>
      <c r="E396" s="3" t="s">
        <v>13</v>
      </c>
      <c r="F396" s="7">
        <v>45037</v>
      </c>
      <c r="G396" s="2">
        <v>81</v>
      </c>
      <c r="H396" s="2">
        <v>3.7</v>
      </c>
    </row>
    <row r="397" spans="2:8" x14ac:dyDescent="0.25">
      <c r="B397" s="2" t="s">
        <v>419</v>
      </c>
      <c r="C397" s="2" t="s">
        <v>12</v>
      </c>
      <c r="D397" s="2">
        <v>123</v>
      </c>
      <c r="E397" s="3" t="s">
        <v>11</v>
      </c>
      <c r="F397" s="7">
        <v>45037</v>
      </c>
      <c r="G397" s="2">
        <v>120</v>
      </c>
      <c r="H397" s="2">
        <v>4.2</v>
      </c>
    </row>
    <row r="398" spans="2:8" x14ac:dyDescent="0.25">
      <c r="B398" s="2" t="s">
        <v>420</v>
      </c>
      <c r="C398" s="2" t="s">
        <v>24</v>
      </c>
      <c r="D398" s="2">
        <v>24</v>
      </c>
      <c r="E398" s="3" t="s">
        <v>6</v>
      </c>
      <c r="F398" s="7">
        <v>45037</v>
      </c>
      <c r="G398" s="2">
        <v>74</v>
      </c>
      <c r="H398" s="2">
        <v>4.8</v>
      </c>
    </row>
    <row r="399" spans="2:8" x14ac:dyDescent="0.25">
      <c r="B399" s="2" t="s">
        <v>421</v>
      </c>
      <c r="C399" s="2" t="s">
        <v>12</v>
      </c>
      <c r="D399" s="2">
        <v>43</v>
      </c>
      <c r="E399" s="3" t="s">
        <v>11</v>
      </c>
      <c r="F399" s="7">
        <v>45038</v>
      </c>
      <c r="G399" s="2">
        <v>128</v>
      </c>
      <c r="H399" s="2">
        <v>4.7</v>
      </c>
    </row>
    <row r="400" spans="2:8" x14ac:dyDescent="0.25">
      <c r="B400" s="2" t="s">
        <v>422</v>
      </c>
      <c r="C400" s="2" t="s">
        <v>21</v>
      </c>
      <c r="D400" s="2">
        <v>95</v>
      </c>
      <c r="E400" s="3" t="s">
        <v>9</v>
      </c>
      <c r="F400" s="7">
        <v>45038</v>
      </c>
      <c r="G400" s="2">
        <v>21</v>
      </c>
      <c r="H400" s="2">
        <v>3.9</v>
      </c>
    </row>
    <row r="401" spans="2:8" x14ac:dyDescent="0.25">
      <c r="B401" s="2" t="s">
        <v>423</v>
      </c>
      <c r="C401" s="2" t="s">
        <v>5</v>
      </c>
      <c r="D401" s="2">
        <v>53</v>
      </c>
      <c r="E401" s="3" t="s">
        <v>11</v>
      </c>
      <c r="F401" s="7">
        <v>45038</v>
      </c>
      <c r="G401" s="2">
        <v>110</v>
      </c>
      <c r="H401" s="2">
        <v>4.3</v>
      </c>
    </row>
    <row r="402" spans="2:8" x14ac:dyDescent="0.25">
      <c r="B402" s="2" t="s">
        <v>424</v>
      </c>
      <c r="C402" s="2" t="s">
        <v>12</v>
      </c>
      <c r="D402" s="2">
        <v>113</v>
      </c>
      <c r="E402" s="3" t="s">
        <v>11</v>
      </c>
      <c r="F402" s="7">
        <v>45038</v>
      </c>
      <c r="G402" s="2">
        <v>145</v>
      </c>
      <c r="H402" s="2">
        <v>4</v>
      </c>
    </row>
    <row r="403" spans="2:8" x14ac:dyDescent="0.25">
      <c r="B403" s="2" t="s">
        <v>425</v>
      </c>
      <c r="C403" s="2" t="s">
        <v>5</v>
      </c>
      <c r="D403" s="2">
        <v>89</v>
      </c>
      <c r="E403" s="3" t="s">
        <v>13</v>
      </c>
      <c r="F403" s="7">
        <v>45038</v>
      </c>
      <c r="G403" s="2">
        <v>129</v>
      </c>
      <c r="H403" s="2">
        <v>4</v>
      </c>
    </row>
    <row r="404" spans="2:8" x14ac:dyDescent="0.25">
      <c r="B404" s="2" t="s">
        <v>426</v>
      </c>
      <c r="C404" s="2" t="s">
        <v>18</v>
      </c>
      <c r="D404" s="2">
        <v>84</v>
      </c>
      <c r="E404" s="3" t="s">
        <v>10</v>
      </c>
      <c r="F404" s="7">
        <v>45038</v>
      </c>
      <c r="G404" s="2">
        <v>156</v>
      </c>
      <c r="H404" s="2">
        <v>3.2</v>
      </c>
    </row>
    <row r="405" spans="2:8" x14ac:dyDescent="0.25">
      <c r="B405" s="2" t="s">
        <v>427</v>
      </c>
      <c r="C405" s="2" t="s">
        <v>24</v>
      </c>
      <c r="D405" s="2">
        <v>130</v>
      </c>
      <c r="E405" s="3" t="s">
        <v>11</v>
      </c>
      <c r="F405" s="7">
        <v>45039</v>
      </c>
      <c r="G405" s="2">
        <v>120</v>
      </c>
      <c r="H405" s="2">
        <v>3.8</v>
      </c>
    </row>
    <row r="406" spans="2:8" x14ac:dyDescent="0.25">
      <c r="B406" s="2" t="s">
        <v>428</v>
      </c>
      <c r="C406" s="2" t="s">
        <v>21</v>
      </c>
      <c r="D406" s="2">
        <v>163</v>
      </c>
      <c r="E406" s="3" t="s">
        <v>13</v>
      </c>
      <c r="F406" s="7">
        <v>45039</v>
      </c>
      <c r="G406" s="2">
        <v>62</v>
      </c>
      <c r="H406" s="2">
        <v>3.4</v>
      </c>
    </row>
    <row r="407" spans="2:8" x14ac:dyDescent="0.25">
      <c r="B407" s="2" t="s">
        <v>429</v>
      </c>
      <c r="C407" s="2" t="s">
        <v>22</v>
      </c>
      <c r="D407" s="2">
        <v>127</v>
      </c>
      <c r="E407" s="3" t="s">
        <v>11</v>
      </c>
      <c r="F407" s="7">
        <v>45039</v>
      </c>
      <c r="G407" s="2">
        <v>160</v>
      </c>
      <c r="H407" s="2">
        <v>3.2</v>
      </c>
    </row>
    <row r="408" spans="2:8" x14ac:dyDescent="0.25">
      <c r="B408" s="2" t="s">
        <v>430</v>
      </c>
      <c r="C408" s="2" t="s">
        <v>12</v>
      </c>
      <c r="D408" s="2">
        <v>50</v>
      </c>
      <c r="E408" s="3" t="s">
        <v>11</v>
      </c>
      <c r="F408" s="7">
        <v>45039</v>
      </c>
      <c r="G408" s="2">
        <v>56</v>
      </c>
      <c r="H408" s="2">
        <v>4.7</v>
      </c>
    </row>
    <row r="409" spans="2:8" x14ac:dyDescent="0.25">
      <c r="B409" s="2" t="s">
        <v>431</v>
      </c>
      <c r="C409" s="2" t="s">
        <v>15</v>
      </c>
      <c r="D409" s="2">
        <v>88</v>
      </c>
      <c r="E409" s="3" t="s">
        <v>6</v>
      </c>
      <c r="F409" s="7">
        <v>45039</v>
      </c>
      <c r="G409" s="2">
        <v>72</v>
      </c>
      <c r="H409" s="2">
        <v>4</v>
      </c>
    </row>
    <row r="410" spans="2:8" x14ac:dyDescent="0.25">
      <c r="B410" s="2" t="s">
        <v>432</v>
      </c>
      <c r="C410" s="2" t="s">
        <v>12</v>
      </c>
      <c r="D410" s="2">
        <v>139</v>
      </c>
      <c r="E410" s="3" t="s">
        <v>9</v>
      </c>
      <c r="F410" s="7">
        <v>45040</v>
      </c>
      <c r="G410" s="2">
        <v>81</v>
      </c>
      <c r="H410" s="2">
        <v>4.8</v>
      </c>
    </row>
    <row r="411" spans="2:8" x14ac:dyDescent="0.25">
      <c r="B411" s="2" t="s">
        <v>433</v>
      </c>
      <c r="C411" s="2" t="s">
        <v>21</v>
      </c>
      <c r="D411" s="2">
        <v>111</v>
      </c>
      <c r="E411" s="3" t="s">
        <v>11</v>
      </c>
      <c r="F411" s="7">
        <v>45040</v>
      </c>
      <c r="G411" s="2">
        <v>144</v>
      </c>
      <c r="H411" s="2">
        <v>3.9</v>
      </c>
    </row>
    <row r="412" spans="2:8" x14ac:dyDescent="0.25">
      <c r="B412" s="2" t="s">
        <v>434</v>
      </c>
      <c r="C412" s="2" t="s">
        <v>23</v>
      </c>
      <c r="D412" s="2">
        <v>115</v>
      </c>
      <c r="E412" s="3" t="s">
        <v>9</v>
      </c>
      <c r="F412" s="7">
        <v>45040</v>
      </c>
      <c r="G412" s="2">
        <v>111</v>
      </c>
      <c r="H412" s="2">
        <v>4.3</v>
      </c>
    </row>
    <row r="413" spans="2:8" x14ac:dyDescent="0.25">
      <c r="B413" s="2" t="s">
        <v>435</v>
      </c>
      <c r="C413" s="2" t="s">
        <v>5</v>
      </c>
      <c r="D413" s="2">
        <v>26</v>
      </c>
      <c r="E413" s="3" t="s">
        <v>13</v>
      </c>
      <c r="F413" s="7">
        <v>45040</v>
      </c>
      <c r="G413" s="2">
        <v>43</v>
      </c>
      <c r="H413" s="2">
        <v>4.2</v>
      </c>
    </row>
    <row r="414" spans="2:8" x14ac:dyDescent="0.25">
      <c r="B414" s="2" t="s">
        <v>436</v>
      </c>
      <c r="C414" s="2" t="s">
        <v>18</v>
      </c>
      <c r="D414" s="2">
        <v>131</v>
      </c>
      <c r="E414" s="3" t="s">
        <v>6</v>
      </c>
      <c r="F414" s="7">
        <v>45040</v>
      </c>
      <c r="G414" s="2">
        <v>41</v>
      </c>
      <c r="H414" s="2">
        <v>4.9000000000000004</v>
      </c>
    </row>
    <row r="415" spans="2:8" x14ac:dyDescent="0.25">
      <c r="B415" s="2" t="s">
        <v>437</v>
      </c>
      <c r="C415" s="2" t="s">
        <v>23</v>
      </c>
      <c r="D415" s="2">
        <v>27</v>
      </c>
      <c r="E415" s="3" t="s">
        <v>6</v>
      </c>
      <c r="F415" s="7">
        <v>45040</v>
      </c>
      <c r="G415" s="2">
        <v>74</v>
      </c>
      <c r="H415" s="2">
        <v>4</v>
      </c>
    </row>
    <row r="416" spans="2:8" x14ac:dyDescent="0.25">
      <c r="B416" s="2" t="s">
        <v>438</v>
      </c>
      <c r="C416" s="2" t="s">
        <v>16</v>
      </c>
      <c r="D416" s="2">
        <v>75</v>
      </c>
      <c r="E416" s="3" t="s">
        <v>11</v>
      </c>
      <c r="F416" s="7">
        <v>45040</v>
      </c>
      <c r="G416" s="2">
        <v>43</v>
      </c>
      <c r="H416" s="2">
        <v>4.9000000000000004</v>
      </c>
    </row>
    <row r="417" spans="2:8" x14ac:dyDescent="0.25">
      <c r="B417" s="2" t="s">
        <v>439</v>
      </c>
      <c r="C417" s="2" t="s">
        <v>7</v>
      </c>
      <c r="D417" s="2">
        <v>123</v>
      </c>
      <c r="E417" s="3" t="s">
        <v>6</v>
      </c>
      <c r="F417" s="7">
        <v>45040</v>
      </c>
      <c r="G417" s="2">
        <v>128</v>
      </c>
      <c r="H417" s="2">
        <v>3.6</v>
      </c>
    </row>
    <row r="418" spans="2:8" x14ac:dyDescent="0.25">
      <c r="B418" s="2" t="s">
        <v>440</v>
      </c>
      <c r="C418" s="2" t="s">
        <v>20</v>
      </c>
      <c r="D418" s="2">
        <v>129</v>
      </c>
      <c r="E418" s="3" t="s">
        <v>6</v>
      </c>
      <c r="F418" s="7">
        <v>45041</v>
      </c>
      <c r="G418" s="2">
        <v>144</v>
      </c>
      <c r="H418" s="2">
        <v>4.0999999999999996</v>
      </c>
    </row>
    <row r="419" spans="2:8" x14ac:dyDescent="0.25">
      <c r="B419" s="2" t="s">
        <v>441</v>
      </c>
      <c r="C419" s="2" t="s">
        <v>16</v>
      </c>
      <c r="D419" s="2">
        <v>124</v>
      </c>
      <c r="E419" s="3" t="s">
        <v>9</v>
      </c>
      <c r="F419" s="7">
        <v>45041</v>
      </c>
      <c r="G419" s="2">
        <v>132</v>
      </c>
      <c r="H419" s="2">
        <v>4.9000000000000004</v>
      </c>
    </row>
    <row r="420" spans="2:8" x14ac:dyDescent="0.25">
      <c r="B420" s="2" t="s">
        <v>442</v>
      </c>
      <c r="C420" s="2" t="s">
        <v>23</v>
      </c>
      <c r="D420" s="2">
        <v>108</v>
      </c>
      <c r="E420" s="3" t="s">
        <v>9</v>
      </c>
      <c r="F420" s="7">
        <v>45041</v>
      </c>
      <c r="G420" s="2">
        <v>180</v>
      </c>
      <c r="H420" s="2">
        <v>3.9</v>
      </c>
    </row>
    <row r="421" spans="2:8" x14ac:dyDescent="0.25">
      <c r="B421" s="2" t="s">
        <v>443</v>
      </c>
      <c r="C421" s="2" t="s">
        <v>8</v>
      </c>
      <c r="D421" s="2">
        <v>15</v>
      </c>
      <c r="E421" s="3" t="s">
        <v>9</v>
      </c>
      <c r="F421" s="7">
        <v>45041</v>
      </c>
      <c r="G421" s="2">
        <v>31</v>
      </c>
      <c r="H421" s="2">
        <v>4.0999999999999996</v>
      </c>
    </row>
    <row r="422" spans="2:8" x14ac:dyDescent="0.25">
      <c r="B422" s="2" t="s">
        <v>444</v>
      </c>
      <c r="C422" s="2" t="s">
        <v>23</v>
      </c>
      <c r="D422" s="2">
        <v>66</v>
      </c>
      <c r="E422" s="3" t="s">
        <v>9</v>
      </c>
      <c r="F422" s="7">
        <v>45041</v>
      </c>
      <c r="G422" s="2">
        <v>102</v>
      </c>
      <c r="H422" s="2">
        <v>3.8</v>
      </c>
    </row>
    <row r="423" spans="2:8" x14ac:dyDescent="0.25">
      <c r="B423" s="2" t="s">
        <v>445</v>
      </c>
      <c r="C423" s="2" t="s">
        <v>15</v>
      </c>
      <c r="D423" s="2">
        <v>126</v>
      </c>
      <c r="E423" s="3" t="s">
        <v>11</v>
      </c>
      <c r="F423" s="7">
        <v>45042</v>
      </c>
      <c r="G423" s="2">
        <v>175</v>
      </c>
      <c r="H423" s="2">
        <v>4.8</v>
      </c>
    </row>
    <row r="424" spans="2:8" x14ac:dyDescent="0.25">
      <c r="B424" s="2" t="s">
        <v>446</v>
      </c>
      <c r="C424" s="2" t="s">
        <v>16</v>
      </c>
      <c r="D424" s="2">
        <v>26</v>
      </c>
      <c r="E424" s="3" t="s">
        <v>10</v>
      </c>
      <c r="F424" s="7">
        <v>45042</v>
      </c>
      <c r="G424" s="2">
        <v>87</v>
      </c>
      <c r="H424" s="2">
        <v>4.7</v>
      </c>
    </row>
    <row r="425" spans="2:8" x14ac:dyDescent="0.25">
      <c r="B425" s="2" t="s">
        <v>447</v>
      </c>
      <c r="C425" s="2" t="s">
        <v>24</v>
      </c>
      <c r="D425" s="2">
        <v>105</v>
      </c>
      <c r="E425" s="3" t="s">
        <v>11</v>
      </c>
      <c r="F425" s="7">
        <v>45042</v>
      </c>
      <c r="G425" s="2">
        <v>66</v>
      </c>
      <c r="H425" s="2">
        <v>4.2</v>
      </c>
    </row>
    <row r="426" spans="2:8" x14ac:dyDescent="0.25">
      <c r="B426" s="2" t="s">
        <v>448</v>
      </c>
      <c r="C426" s="2" t="s">
        <v>24</v>
      </c>
      <c r="D426" s="2">
        <v>31</v>
      </c>
      <c r="E426" s="3" t="s">
        <v>11</v>
      </c>
      <c r="F426" s="7">
        <v>45042</v>
      </c>
      <c r="G426" s="2">
        <v>25</v>
      </c>
      <c r="H426" s="2">
        <v>3.2</v>
      </c>
    </row>
    <row r="427" spans="2:8" x14ac:dyDescent="0.25">
      <c r="B427" s="2" t="s">
        <v>449</v>
      </c>
      <c r="C427" s="2" t="s">
        <v>23</v>
      </c>
      <c r="D427" s="2">
        <v>109</v>
      </c>
      <c r="E427" s="3" t="s">
        <v>9</v>
      </c>
      <c r="F427" s="7">
        <v>45042</v>
      </c>
      <c r="G427" s="2">
        <v>126</v>
      </c>
      <c r="H427" s="2">
        <v>3.4</v>
      </c>
    </row>
    <row r="428" spans="2:8" x14ac:dyDescent="0.25">
      <c r="B428" s="2" t="s">
        <v>450</v>
      </c>
      <c r="C428" s="2" t="s">
        <v>20</v>
      </c>
      <c r="D428" s="2">
        <v>113</v>
      </c>
      <c r="E428" s="3" t="s">
        <v>13</v>
      </c>
      <c r="F428" s="7">
        <v>45043</v>
      </c>
      <c r="G428" s="2">
        <v>42</v>
      </c>
      <c r="H428" s="2">
        <v>4.5999999999999996</v>
      </c>
    </row>
    <row r="429" spans="2:8" x14ac:dyDescent="0.25">
      <c r="B429" s="2" t="s">
        <v>451</v>
      </c>
      <c r="C429" s="2" t="s">
        <v>15</v>
      </c>
      <c r="D429" s="2">
        <v>101</v>
      </c>
      <c r="E429" s="3" t="s">
        <v>10</v>
      </c>
      <c r="F429" s="7">
        <v>45043</v>
      </c>
      <c r="G429" s="2">
        <v>225</v>
      </c>
      <c r="H429" s="2">
        <v>1.9</v>
      </c>
    </row>
    <row r="430" spans="2:8" x14ac:dyDescent="0.25">
      <c r="B430" s="2" t="s">
        <v>452</v>
      </c>
      <c r="C430" s="2" t="s">
        <v>21</v>
      </c>
      <c r="D430" s="2">
        <v>156</v>
      </c>
      <c r="E430" s="3" t="s">
        <v>10</v>
      </c>
      <c r="F430" s="7">
        <v>45043</v>
      </c>
      <c r="G430" s="2">
        <v>42</v>
      </c>
      <c r="H430" s="2">
        <v>3.3</v>
      </c>
    </row>
    <row r="431" spans="2:8" x14ac:dyDescent="0.25">
      <c r="B431" s="2" t="s">
        <v>453</v>
      </c>
      <c r="C431" s="2" t="s">
        <v>23</v>
      </c>
      <c r="D431" s="2">
        <v>145</v>
      </c>
      <c r="E431" s="3" t="s">
        <v>13</v>
      </c>
      <c r="F431" s="7">
        <v>45044</v>
      </c>
      <c r="G431" s="2">
        <v>110</v>
      </c>
      <c r="H431" s="2">
        <v>3.1</v>
      </c>
    </row>
    <row r="432" spans="2:8" x14ac:dyDescent="0.25">
      <c r="B432" s="2" t="s">
        <v>454</v>
      </c>
      <c r="C432" s="2" t="s">
        <v>7</v>
      </c>
      <c r="D432" s="2">
        <v>36</v>
      </c>
      <c r="E432" s="3" t="s">
        <v>9</v>
      </c>
      <c r="F432" s="7">
        <v>45044</v>
      </c>
      <c r="G432" s="2">
        <v>225</v>
      </c>
      <c r="H432" s="2">
        <v>4.8</v>
      </c>
    </row>
    <row r="433" spans="2:8" x14ac:dyDescent="0.25">
      <c r="B433" s="2" t="s">
        <v>455</v>
      </c>
      <c r="C433" s="2" t="s">
        <v>24</v>
      </c>
      <c r="D433" s="2">
        <v>135</v>
      </c>
      <c r="E433" s="3" t="s">
        <v>6</v>
      </c>
      <c r="F433" s="7">
        <v>45045</v>
      </c>
      <c r="G433" s="2">
        <v>125</v>
      </c>
      <c r="H433" s="2">
        <v>3.3</v>
      </c>
    </row>
    <row r="434" spans="2:8" x14ac:dyDescent="0.25">
      <c r="B434" s="2" t="s">
        <v>456</v>
      </c>
      <c r="C434" s="2" t="s">
        <v>15</v>
      </c>
      <c r="D434" s="2">
        <v>81</v>
      </c>
      <c r="E434" s="3" t="s">
        <v>9</v>
      </c>
      <c r="F434" s="7">
        <v>45045</v>
      </c>
      <c r="G434" s="2">
        <v>78</v>
      </c>
      <c r="H434" s="2">
        <v>2.9</v>
      </c>
    </row>
    <row r="435" spans="2:8" x14ac:dyDescent="0.25">
      <c r="B435" s="2" t="s">
        <v>457</v>
      </c>
      <c r="C435" s="2" t="s">
        <v>15</v>
      </c>
      <c r="D435" s="2">
        <v>81</v>
      </c>
      <c r="E435" s="3" t="s">
        <v>13</v>
      </c>
      <c r="F435" s="7">
        <v>45045</v>
      </c>
      <c r="G435" s="2">
        <v>40</v>
      </c>
      <c r="H435" s="2">
        <v>2.4</v>
      </c>
    </row>
    <row r="436" spans="2:8" x14ac:dyDescent="0.25">
      <c r="B436" s="2" t="s">
        <v>458</v>
      </c>
      <c r="C436" s="2" t="s">
        <v>22</v>
      </c>
      <c r="D436" s="2">
        <v>93</v>
      </c>
      <c r="E436" s="3" t="s">
        <v>11</v>
      </c>
      <c r="F436" s="7">
        <v>45045</v>
      </c>
      <c r="G436" s="2">
        <v>150</v>
      </c>
      <c r="H436" s="2">
        <v>4.5999999999999996</v>
      </c>
    </row>
    <row r="437" spans="2:8" x14ac:dyDescent="0.25">
      <c r="B437" s="2" t="s">
        <v>459</v>
      </c>
      <c r="C437" s="2" t="s">
        <v>23</v>
      </c>
      <c r="D437" s="2">
        <v>14</v>
      </c>
      <c r="E437" s="3" t="s">
        <v>9</v>
      </c>
      <c r="F437" s="7">
        <v>45045</v>
      </c>
      <c r="G437" s="2">
        <v>96</v>
      </c>
      <c r="H437" s="2">
        <v>4.8</v>
      </c>
    </row>
    <row r="438" spans="2:8" x14ac:dyDescent="0.25">
      <c r="B438" s="2" t="s">
        <v>460</v>
      </c>
      <c r="C438" s="2" t="s">
        <v>24</v>
      </c>
      <c r="D438" s="2">
        <v>95</v>
      </c>
      <c r="E438" s="3" t="s">
        <v>13</v>
      </c>
      <c r="F438" s="7">
        <v>45046</v>
      </c>
      <c r="G438" s="2">
        <v>75</v>
      </c>
      <c r="H438" s="2">
        <v>4.8</v>
      </c>
    </row>
    <row r="439" spans="2:8" x14ac:dyDescent="0.25">
      <c r="B439" s="2" t="s">
        <v>461</v>
      </c>
      <c r="C439" s="2" t="s">
        <v>22</v>
      </c>
      <c r="D439" s="2">
        <v>81</v>
      </c>
      <c r="E439" s="3" t="s">
        <v>13</v>
      </c>
      <c r="F439" s="7">
        <v>45046</v>
      </c>
      <c r="G439" s="2">
        <v>60</v>
      </c>
      <c r="H439" s="2">
        <v>3.6</v>
      </c>
    </row>
    <row r="440" spans="2:8" x14ac:dyDescent="0.25">
      <c r="B440" s="2" t="s">
        <v>462</v>
      </c>
      <c r="C440" s="2" t="s">
        <v>5</v>
      </c>
      <c r="D440" s="2">
        <v>60</v>
      </c>
      <c r="E440" s="3" t="s">
        <v>9</v>
      </c>
      <c r="F440" s="7">
        <v>45047</v>
      </c>
      <c r="G440" s="2">
        <v>41</v>
      </c>
      <c r="H440" s="2">
        <v>4.8</v>
      </c>
    </row>
    <row r="441" spans="2:8" x14ac:dyDescent="0.25">
      <c r="B441" s="2" t="s">
        <v>463</v>
      </c>
      <c r="C441" s="2" t="s">
        <v>14</v>
      </c>
      <c r="D441" s="2">
        <v>137</v>
      </c>
      <c r="E441" s="3" t="s">
        <v>11</v>
      </c>
      <c r="F441" s="7">
        <v>45047</v>
      </c>
      <c r="G441" s="2">
        <v>20</v>
      </c>
      <c r="H441" s="2">
        <v>4.2</v>
      </c>
    </row>
    <row r="442" spans="2:8" x14ac:dyDescent="0.25">
      <c r="B442" s="2" t="s">
        <v>464</v>
      </c>
      <c r="C442" s="2" t="s">
        <v>12</v>
      </c>
      <c r="D442" s="2">
        <v>112</v>
      </c>
      <c r="E442" s="3" t="s">
        <v>6</v>
      </c>
      <c r="F442" s="7">
        <v>45047</v>
      </c>
      <c r="G442" s="2">
        <v>84</v>
      </c>
      <c r="H442" s="2">
        <v>2.6</v>
      </c>
    </row>
    <row r="443" spans="2:8" x14ac:dyDescent="0.25">
      <c r="B443" s="2" t="s">
        <v>465</v>
      </c>
      <c r="C443" s="2" t="s">
        <v>24</v>
      </c>
      <c r="D443" s="2">
        <v>76</v>
      </c>
      <c r="E443" s="3" t="s">
        <v>10</v>
      </c>
      <c r="F443" s="7">
        <v>45047</v>
      </c>
      <c r="G443" s="2">
        <v>140</v>
      </c>
      <c r="H443" s="2">
        <v>3.7</v>
      </c>
    </row>
    <row r="444" spans="2:8" x14ac:dyDescent="0.25">
      <c r="B444" s="2" t="s">
        <v>466</v>
      </c>
      <c r="C444" s="2" t="s">
        <v>19</v>
      </c>
      <c r="D444" s="2">
        <v>73</v>
      </c>
      <c r="E444" s="3" t="s">
        <v>9</v>
      </c>
      <c r="F444" s="7">
        <v>45047</v>
      </c>
      <c r="G444" s="2">
        <v>66</v>
      </c>
      <c r="H444" s="2">
        <v>4.8</v>
      </c>
    </row>
    <row r="445" spans="2:8" x14ac:dyDescent="0.25">
      <c r="B445" s="2" t="s">
        <v>467</v>
      </c>
      <c r="C445" s="2" t="s">
        <v>18</v>
      </c>
      <c r="D445" s="2">
        <v>119</v>
      </c>
      <c r="E445" s="3" t="s">
        <v>11</v>
      </c>
      <c r="F445" s="7">
        <v>45047</v>
      </c>
      <c r="G445" s="2">
        <v>105</v>
      </c>
      <c r="H445" s="2">
        <v>4.7</v>
      </c>
    </row>
    <row r="446" spans="2:8" x14ac:dyDescent="0.25">
      <c r="B446" s="2" t="s">
        <v>468</v>
      </c>
      <c r="C446" s="2" t="s">
        <v>20</v>
      </c>
      <c r="D446" s="2">
        <v>135</v>
      </c>
      <c r="E446" s="3" t="s">
        <v>13</v>
      </c>
      <c r="F446" s="7">
        <v>45048</v>
      </c>
      <c r="G446" s="2">
        <v>104</v>
      </c>
      <c r="H446" s="2">
        <v>4.0999999999999996</v>
      </c>
    </row>
    <row r="447" spans="2:8" x14ac:dyDescent="0.25">
      <c r="B447" s="2" t="s">
        <v>469</v>
      </c>
      <c r="C447" s="2" t="s">
        <v>14</v>
      </c>
      <c r="D447" s="2">
        <v>41</v>
      </c>
      <c r="E447" s="3" t="s">
        <v>6</v>
      </c>
      <c r="F447" s="7">
        <v>45048</v>
      </c>
      <c r="G447" s="2">
        <v>123</v>
      </c>
      <c r="H447" s="2">
        <v>3.2</v>
      </c>
    </row>
    <row r="448" spans="2:8" x14ac:dyDescent="0.25">
      <c r="B448" s="2" t="s">
        <v>470</v>
      </c>
      <c r="C448" s="2" t="s">
        <v>23</v>
      </c>
      <c r="D448" s="2">
        <v>35</v>
      </c>
      <c r="E448" s="3" t="s">
        <v>13</v>
      </c>
      <c r="F448" s="7">
        <v>45049</v>
      </c>
      <c r="G448" s="2">
        <v>215</v>
      </c>
      <c r="H448" s="2">
        <v>4.3</v>
      </c>
    </row>
    <row r="449" spans="2:8" x14ac:dyDescent="0.25">
      <c r="B449" s="2" t="s">
        <v>471</v>
      </c>
      <c r="C449" s="2" t="s">
        <v>20</v>
      </c>
      <c r="D449" s="2">
        <v>96</v>
      </c>
      <c r="E449" s="3" t="s">
        <v>9</v>
      </c>
      <c r="F449" s="7">
        <v>45049</v>
      </c>
      <c r="G449" s="2">
        <v>46</v>
      </c>
      <c r="H449" s="2">
        <v>0.7</v>
      </c>
    </row>
    <row r="450" spans="2:8" x14ac:dyDescent="0.25">
      <c r="B450" s="2" t="s">
        <v>472</v>
      </c>
      <c r="C450" s="2" t="s">
        <v>22</v>
      </c>
      <c r="D450" s="2">
        <v>61</v>
      </c>
      <c r="E450" s="3" t="s">
        <v>6</v>
      </c>
      <c r="F450" s="7">
        <v>45049</v>
      </c>
      <c r="G450" s="2">
        <v>115</v>
      </c>
      <c r="H450" s="2">
        <v>3.7</v>
      </c>
    </row>
    <row r="451" spans="2:8" x14ac:dyDescent="0.25">
      <c r="B451" s="2" t="s">
        <v>473</v>
      </c>
      <c r="C451" s="2" t="s">
        <v>20</v>
      </c>
      <c r="D451" s="2">
        <v>91</v>
      </c>
      <c r="E451" s="3" t="s">
        <v>6</v>
      </c>
      <c r="F451" s="7">
        <v>45049</v>
      </c>
      <c r="G451" s="2">
        <v>124</v>
      </c>
      <c r="H451" s="2">
        <v>3.9</v>
      </c>
    </row>
    <row r="452" spans="2:8" x14ac:dyDescent="0.25">
      <c r="B452" s="2" t="s">
        <v>474</v>
      </c>
      <c r="C452" s="2" t="s">
        <v>17</v>
      </c>
      <c r="D452" s="2">
        <v>30</v>
      </c>
      <c r="E452" s="3" t="s">
        <v>6</v>
      </c>
      <c r="F452" s="7">
        <v>45050</v>
      </c>
      <c r="G452" s="2">
        <v>205</v>
      </c>
      <c r="H452" s="2">
        <v>4.5</v>
      </c>
    </row>
    <row r="453" spans="2:8" x14ac:dyDescent="0.25">
      <c r="B453" s="2" t="s">
        <v>475</v>
      </c>
      <c r="C453" s="2" t="s">
        <v>5</v>
      </c>
      <c r="D453" s="2">
        <v>111</v>
      </c>
      <c r="E453" s="3" t="s">
        <v>11</v>
      </c>
      <c r="F453" s="7">
        <v>45050</v>
      </c>
      <c r="G453" s="2">
        <v>90</v>
      </c>
      <c r="H453" s="2">
        <v>2.8</v>
      </c>
    </row>
    <row r="454" spans="2:8" x14ac:dyDescent="0.25">
      <c r="B454" s="2" t="s">
        <v>476</v>
      </c>
      <c r="C454" s="2" t="s">
        <v>22</v>
      </c>
      <c r="D454" s="2">
        <v>81</v>
      </c>
      <c r="E454" s="3" t="s">
        <v>9</v>
      </c>
      <c r="F454" s="7">
        <v>45050</v>
      </c>
      <c r="G454" s="2">
        <v>92</v>
      </c>
      <c r="H454" s="2">
        <v>4.9000000000000004</v>
      </c>
    </row>
    <row r="455" spans="2:8" x14ac:dyDescent="0.25">
      <c r="B455" s="2" t="s">
        <v>477</v>
      </c>
      <c r="C455" s="2" t="s">
        <v>24</v>
      </c>
      <c r="D455" s="2">
        <v>40</v>
      </c>
      <c r="E455" s="3" t="s">
        <v>13</v>
      </c>
      <c r="F455" s="7">
        <v>45052</v>
      </c>
      <c r="G455" s="2">
        <v>108</v>
      </c>
      <c r="H455" s="2">
        <v>4.2</v>
      </c>
    </row>
    <row r="456" spans="2:8" x14ac:dyDescent="0.25">
      <c r="B456" s="2" t="s">
        <v>478</v>
      </c>
      <c r="C456" s="2" t="s">
        <v>5</v>
      </c>
      <c r="D456" s="2">
        <v>143</v>
      </c>
      <c r="E456" s="3" t="s">
        <v>13</v>
      </c>
      <c r="F456" s="7">
        <v>45052</v>
      </c>
      <c r="G456" s="2">
        <v>54</v>
      </c>
      <c r="H456" s="2">
        <v>4.4000000000000004</v>
      </c>
    </row>
    <row r="457" spans="2:8" x14ac:dyDescent="0.25">
      <c r="B457" s="2" t="s">
        <v>479</v>
      </c>
      <c r="C457" s="2" t="s">
        <v>24</v>
      </c>
      <c r="D457" s="2">
        <v>70</v>
      </c>
      <c r="E457" s="3" t="s">
        <v>13</v>
      </c>
      <c r="F457" s="7">
        <v>45053</v>
      </c>
      <c r="G457" s="2">
        <v>44</v>
      </c>
      <c r="H457" s="2">
        <v>3.5</v>
      </c>
    </row>
    <row r="458" spans="2:8" x14ac:dyDescent="0.25">
      <c r="B458" s="2" t="s">
        <v>480</v>
      </c>
      <c r="C458" s="2" t="s">
        <v>19</v>
      </c>
      <c r="D458" s="2">
        <v>137</v>
      </c>
      <c r="E458" s="3" t="s">
        <v>13</v>
      </c>
      <c r="F458" s="7">
        <v>45053</v>
      </c>
      <c r="G458" s="2">
        <v>44</v>
      </c>
      <c r="H458" s="2">
        <v>4.7</v>
      </c>
    </row>
    <row r="459" spans="2:8" x14ac:dyDescent="0.25">
      <c r="B459" s="2" t="s">
        <v>481</v>
      </c>
      <c r="C459" s="2" t="s">
        <v>20</v>
      </c>
      <c r="D459" s="2">
        <v>52</v>
      </c>
      <c r="E459" s="3" t="s">
        <v>9</v>
      </c>
      <c r="F459" s="7">
        <v>45054</v>
      </c>
      <c r="G459" s="2">
        <v>37</v>
      </c>
      <c r="H459" s="2">
        <v>4.9000000000000004</v>
      </c>
    </row>
    <row r="460" spans="2:8" x14ac:dyDescent="0.25">
      <c r="B460" s="2" t="s">
        <v>482</v>
      </c>
      <c r="C460" s="2" t="s">
        <v>12</v>
      </c>
      <c r="D460" s="2">
        <v>31</v>
      </c>
      <c r="E460" s="3" t="s">
        <v>11</v>
      </c>
      <c r="F460" s="7">
        <v>45054</v>
      </c>
      <c r="G460" s="2">
        <v>180</v>
      </c>
      <c r="H460" s="2">
        <v>4.5</v>
      </c>
    </row>
    <row r="461" spans="2:8" x14ac:dyDescent="0.25">
      <c r="B461" s="2" t="s">
        <v>483</v>
      </c>
      <c r="C461" s="2" t="s">
        <v>20</v>
      </c>
      <c r="D461" s="2">
        <v>114</v>
      </c>
      <c r="E461" s="3" t="s">
        <v>6</v>
      </c>
      <c r="F461" s="7">
        <v>45054</v>
      </c>
      <c r="G461" s="2">
        <v>105</v>
      </c>
      <c r="H461" s="2">
        <v>4.9000000000000004</v>
      </c>
    </row>
    <row r="462" spans="2:8" x14ac:dyDescent="0.25">
      <c r="B462" s="2" t="s">
        <v>484</v>
      </c>
      <c r="C462" s="2" t="s">
        <v>19</v>
      </c>
      <c r="D462" s="2">
        <v>73</v>
      </c>
      <c r="E462" s="3" t="s">
        <v>10</v>
      </c>
      <c r="F462" s="7">
        <v>45054</v>
      </c>
      <c r="G462" s="2">
        <v>87</v>
      </c>
      <c r="H462" s="2">
        <v>3.6</v>
      </c>
    </row>
    <row r="463" spans="2:8" x14ac:dyDescent="0.25">
      <c r="B463" s="2" t="s">
        <v>485</v>
      </c>
      <c r="C463" s="2" t="s">
        <v>22</v>
      </c>
      <c r="D463" s="2">
        <v>25</v>
      </c>
      <c r="E463" s="3" t="s">
        <v>11</v>
      </c>
      <c r="F463" s="7">
        <v>45054</v>
      </c>
      <c r="G463" s="2">
        <v>52</v>
      </c>
      <c r="H463" s="2">
        <v>3.8</v>
      </c>
    </row>
    <row r="464" spans="2:8" x14ac:dyDescent="0.25">
      <c r="B464" s="2" t="s">
        <v>486</v>
      </c>
      <c r="C464" s="2" t="s">
        <v>8</v>
      </c>
      <c r="D464" s="2">
        <v>44</v>
      </c>
      <c r="E464" s="3" t="s">
        <v>6</v>
      </c>
      <c r="F464" s="7">
        <v>45054</v>
      </c>
      <c r="G464" s="2">
        <v>63</v>
      </c>
      <c r="H464" s="2">
        <v>3.5</v>
      </c>
    </row>
    <row r="465" spans="2:8" x14ac:dyDescent="0.25">
      <c r="B465" s="2" t="s">
        <v>487</v>
      </c>
      <c r="C465" s="2" t="s">
        <v>7</v>
      </c>
      <c r="D465" s="2">
        <v>34</v>
      </c>
      <c r="E465" s="3" t="s">
        <v>9</v>
      </c>
      <c r="F465" s="7">
        <v>45055</v>
      </c>
      <c r="G465" s="2">
        <v>195</v>
      </c>
      <c r="H465" s="2">
        <v>4.8</v>
      </c>
    </row>
    <row r="466" spans="2:8" x14ac:dyDescent="0.25">
      <c r="B466" s="2" t="s">
        <v>488</v>
      </c>
      <c r="C466" s="2" t="s">
        <v>5</v>
      </c>
      <c r="D466" s="2">
        <v>89</v>
      </c>
      <c r="E466" s="3" t="s">
        <v>13</v>
      </c>
      <c r="F466" s="7">
        <v>45056</v>
      </c>
      <c r="G466" s="2">
        <v>176</v>
      </c>
      <c r="H466" s="2">
        <v>4.5</v>
      </c>
    </row>
    <row r="467" spans="2:8" x14ac:dyDescent="0.25">
      <c r="B467" s="2" t="s">
        <v>489</v>
      </c>
      <c r="C467" s="2" t="s">
        <v>18</v>
      </c>
      <c r="D467" s="2">
        <v>54</v>
      </c>
      <c r="E467" s="3" t="s">
        <v>11</v>
      </c>
      <c r="F467" s="7">
        <v>45057</v>
      </c>
      <c r="G467" s="2">
        <v>31</v>
      </c>
      <c r="H467" s="2">
        <v>3.3</v>
      </c>
    </row>
    <row r="468" spans="2:8" x14ac:dyDescent="0.25">
      <c r="B468" s="2" t="s">
        <v>490</v>
      </c>
      <c r="C468" s="2" t="s">
        <v>23</v>
      </c>
      <c r="D468" s="2">
        <v>25</v>
      </c>
      <c r="E468" s="3" t="s">
        <v>11</v>
      </c>
      <c r="F468" s="7">
        <v>45058</v>
      </c>
      <c r="G468" s="2">
        <v>27</v>
      </c>
      <c r="H468" s="2">
        <v>3.2</v>
      </c>
    </row>
    <row r="469" spans="2:8" x14ac:dyDescent="0.25">
      <c r="B469" s="2" t="s">
        <v>491</v>
      </c>
      <c r="C469" s="2" t="s">
        <v>14</v>
      </c>
      <c r="D469" s="2">
        <v>91</v>
      </c>
      <c r="E469" s="3" t="s">
        <v>13</v>
      </c>
      <c r="F469" s="7">
        <v>45058</v>
      </c>
      <c r="G469" s="2">
        <v>76</v>
      </c>
      <c r="H469" s="2">
        <v>4.9000000000000004</v>
      </c>
    </row>
    <row r="470" spans="2:8" x14ac:dyDescent="0.25">
      <c r="B470" s="2" t="s">
        <v>492</v>
      </c>
      <c r="C470" s="2" t="s">
        <v>8</v>
      </c>
      <c r="D470" s="2">
        <v>144</v>
      </c>
      <c r="E470" s="3" t="s">
        <v>6</v>
      </c>
      <c r="F470" s="7">
        <v>45058</v>
      </c>
      <c r="G470" s="2">
        <v>62</v>
      </c>
      <c r="H470" s="2">
        <v>4.8</v>
      </c>
    </row>
    <row r="471" spans="2:8" x14ac:dyDescent="0.25">
      <c r="B471" s="2" t="s">
        <v>493</v>
      </c>
      <c r="C471" s="2" t="s">
        <v>14</v>
      </c>
      <c r="D471" s="2">
        <v>81</v>
      </c>
      <c r="E471" s="3" t="s">
        <v>9</v>
      </c>
      <c r="F471" s="7">
        <v>45060</v>
      </c>
      <c r="G471" s="2">
        <v>100</v>
      </c>
      <c r="H471" s="2">
        <v>1.3</v>
      </c>
    </row>
    <row r="472" spans="2:8" x14ac:dyDescent="0.25">
      <c r="B472" s="2" t="s">
        <v>494</v>
      </c>
      <c r="C472" s="2" t="s">
        <v>17</v>
      </c>
      <c r="D472" s="2">
        <v>92</v>
      </c>
      <c r="E472" s="3" t="s">
        <v>11</v>
      </c>
      <c r="F472" s="7">
        <v>45060</v>
      </c>
      <c r="G472" s="2">
        <v>44</v>
      </c>
      <c r="H472" s="2">
        <v>3.1</v>
      </c>
    </row>
    <row r="473" spans="2:8" x14ac:dyDescent="0.25">
      <c r="B473" s="2" t="s">
        <v>495</v>
      </c>
      <c r="C473" s="2" t="s">
        <v>23</v>
      </c>
      <c r="D473" s="2">
        <v>115</v>
      </c>
      <c r="E473" s="3" t="s">
        <v>13</v>
      </c>
      <c r="F473" s="7">
        <v>45060</v>
      </c>
      <c r="G473" s="2">
        <v>168</v>
      </c>
      <c r="H473" s="2">
        <v>3.4</v>
      </c>
    </row>
    <row r="474" spans="2:8" x14ac:dyDescent="0.25">
      <c r="B474" s="2" t="s">
        <v>496</v>
      </c>
      <c r="C474" s="2" t="s">
        <v>15</v>
      </c>
      <c r="D474" s="2">
        <v>56</v>
      </c>
      <c r="E474" s="3" t="s">
        <v>13</v>
      </c>
      <c r="F474" s="7">
        <v>45061</v>
      </c>
      <c r="G474" s="2">
        <v>200</v>
      </c>
      <c r="H474" s="2">
        <v>4.5999999999999996</v>
      </c>
    </row>
    <row r="475" spans="2:8" x14ac:dyDescent="0.25">
      <c r="B475" s="2" t="s">
        <v>497</v>
      </c>
      <c r="C475" s="2" t="s">
        <v>12</v>
      </c>
      <c r="D475" s="2">
        <v>154</v>
      </c>
      <c r="E475" s="3" t="s">
        <v>11</v>
      </c>
      <c r="F475" s="7">
        <v>45061</v>
      </c>
      <c r="G475" s="2">
        <v>84</v>
      </c>
      <c r="H475" s="2">
        <v>4.3</v>
      </c>
    </row>
    <row r="476" spans="2:8" x14ac:dyDescent="0.25">
      <c r="B476" s="2" t="s">
        <v>498</v>
      </c>
      <c r="C476" s="2" t="s">
        <v>5</v>
      </c>
      <c r="D476" s="2">
        <v>51</v>
      </c>
      <c r="E476" s="3" t="s">
        <v>13</v>
      </c>
      <c r="F476" s="7">
        <v>45062</v>
      </c>
      <c r="G476" s="2">
        <v>117</v>
      </c>
      <c r="H476" s="2">
        <v>2.7</v>
      </c>
    </row>
    <row r="477" spans="2:8" x14ac:dyDescent="0.25">
      <c r="B477" s="2" t="s">
        <v>499</v>
      </c>
      <c r="C477" s="2" t="s">
        <v>7</v>
      </c>
      <c r="D477" s="2">
        <v>21</v>
      </c>
      <c r="E477" s="3" t="s">
        <v>9</v>
      </c>
      <c r="F477" s="7">
        <v>45062</v>
      </c>
      <c r="G477" s="2">
        <v>63</v>
      </c>
      <c r="H477" s="2">
        <v>4.2</v>
      </c>
    </row>
    <row r="478" spans="2:8" x14ac:dyDescent="0.25">
      <c r="B478" s="2" t="s">
        <v>500</v>
      </c>
      <c r="C478" s="2" t="s">
        <v>23</v>
      </c>
      <c r="D478" s="2">
        <v>80</v>
      </c>
      <c r="E478" s="3" t="s">
        <v>13</v>
      </c>
      <c r="F478" s="7">
        <v>45063</v>
      </c>
      <c r="G478" s="2">
        <v>145</v>
      </c>
      <c r="H478" s="2">
        <v>4.9000000000000004</v>
      </c>
    </row>
    <row r="479" spans="2:8" x14ac:dyDescent="0.25">
      <c r="B479" s="2" t="s">
        <v>501</v>
      </c>
      <c r="C479" s="2" t="s">
        <v>5</v>
      </c>
      <c r="D479" s="2">
        <v>139</v>
      </c>
      <c r="E479" s="3" t="s">
        <v>11</v>
      </c>
      <c r="F479" s="7">
        <v>45063</v>
      </c>
      <c r="G479" s="2">
        <v>220</v>
      </c>
      <c r="H479" s="2">
        <v>3.2</v>
      </c>
    </row>
    <row r="480" spans="2:8" x14ac:dyDescent="0.25">
      <c r="B480" s="2" t="s">
        <v>502</v>
      </c>
      <c r="C480" s="2" t="s">
        <v>24</v>
      </c>
      <c r="D480" s="2">
        <v>50</v>
      </c>
      <c r="E480" s="3" t="s">
        <v>9</v>
      </c>
      <c r="F480" s="7">
        <v>45063</v>
      </c>
      <c r="G480" s="2">
        <v>26</v>
      </c>
      <c r="H480" s="2">
        <v>4.7</v>
      </c>
    </row>
    <row r="481" spans="2:8" x14ac:dyDescent="0.25">
      <c r="B481" s="2" t="s">
        <v>503</v>
      </c>
      <c r="C481" s="2" t="s">
        <v>23</v>
      </c>
      <c r="D481" s="2">
        <v>88</v>
      </c>
      <c r="E481" s="3" t="s">
        <v>13</v>
      </c>
      <c r="F481" s="7">
        <v>45063</v>
      </c>
      <c r="G481" s="2">
        <v>78</v>
      </c>
      <c r="H481" s="2">
        <v>4.3</v>
      </c>
    </row>
    <row r="482" spans="2:8" x14ac:dyDescent="0.25">
      <c r="B482" s="2" t="s">
        <v>504</v>
      </c>
      <c r="C482" s="2" t="s">
        <v>18</v>
      </c>
      <c r="D482" s="2">
        <v>19</v>
      </c>
      <c r="E482" s="3" t="s">
        <v>6</v>
      </c>
      <c r="F482" s="7">
        <v>45064</v>
      </c>
      <c r="G482" s="2">
        <v>132</v>
      </c>
      <c r="H482" s="2">
        <v>4.3</v>
      </c>
    </row>
    <row r="483" spans="2:8" x14ac:dyDescent="0.25">
      <c r="B483" s="2" t="s">
        <v>505</v>
      </c>
      <c r="C483" s="2" t="s">
        <v>22</v>
      </c>
      <c r="D483" s="2">
        <v>104</v>
      </c>
      <c r="E483" s="3" t="s">
        <v>6</v>
      </c>
      <c r="F483" s="7">
        <v>45065</v>
      </c>
      <c r="G483" s="2">
        <v>68</v>
      </c>
      <c r="H483" s="2">
        <v>3.7</v>
      </c>
    </row>
    <row r="484" spans="2:8" x14ac:dyDescent="0.25">
      <c r="B484" s="2" t="s">
        <v>506</v>
      </c>
      <c r="C484" s="2" t="s">
        <v>12</v>
      </c>
      <c r="D484" s="2">
        <v>67</v>
      </c>
      <c r="E484" s="3" t="s">
        <v>11</v>
      </c>
      <c r="F484" s="7">
        <v>45067</v>
      </c>
      <c r="G484" s="2">
        <v>129</v>
      </c>
      <c r="H484" s="2">
        <v>4.7</v>
      </c>
    </row>
    <row r="485" spans="2:8" x14ac:dyDescent="0.25">
      <c r="B485" s="2" t="s">
        <v>507</v>
      </c>
      <c r="C485" s="2" t="s">
        <v>16</v>
      </c>
      <c r="D485" s="2">
        <v>107</v>
      </c>
      <c r="E485" s="3" t="s">
        <v>6</v>
      </c>
      <c r="F485" s="7">
        <v>45067</v>
      </c>
      <c r="G485" s="2">
        <v>115</v>
      </c>
      <c r="H485" s="2">
        <v>4.9000000000000004</v>
      </c>
    </row>
    <row r="486" spans="2:8" x14ac:dyDescent="0.25">
      <c r="B486" s="2" t="s">
        <v>508</v>
      </c>
      <c r="C486" s="2" t="s">
        <v>16</v>
      </c>
      <c r="D486" s="2">
        <v>93</v>
      </c>
      <c r="E486" s="3" t="s">
        <v>6</v>
      </c>
      <c r="F486" s="7">
        <v>45067</v>
      </c>
      <c r="G486" s="2">
        <v>128</v>
      </c>
      <c r="H486" s="2">
        <v>3.9</v>
      </c>
    </row>
    <row r="487" spans="2:8" x14ac:dyDescent="0.25">
      <c r="B487" s="2" t="s">
        <v>509</v>
      </c>
      <c r="C487" s="2" t="s">
        <v>16</v>
      </c>
      <c r="D487" s="2">
        <v>117</v>
      </c>
      <c r="E487" s="3" t="s">
        <v>11</v>
      </c>
      <c r="F487" s="7">
        <v>45067</v>
      </c>
      <c r="G487" s="2">
        <v>90</v>
      </c>
      <c r="H487" s="2">
        <v>4.5</v>
      </c>
    </row>
    <row r="488" spans="2:8" x14ac:dyDescent="0.25">
      <c r="B488" s="2" t="s">
        <v>510</v>
      </c>
      <c r="C488" s="2" t="s">
        <v>24</v>
      </c>
      <c r="D488" s="2">
        <v>76</v>
      </c>
      <c r="E488" s="3" t="s">
        <v>13</v>
      </c>
      <c r="F488" s="7">
        <v>45068</v>
      </c>
      <c r="G488" s="2">
        <v>39</v>
      </c>
      <c r="H488" s="2">
        <v>4.5999999999999996</v>
      </c>
    </row>
    <row r="489" spans="2:8" x14ac:dyDescent="0.25">
      <c r="B489" s="2" t="s">
        <v>511</v>
      </c>
      <c r="C489" s="2" t="s">
        <v>18</v>
      </c>
      <c r="D489" s="2">
        <v>64</v>
      </c>
      <c r="E489" s="3" t="s">
        <v>6</v>
      </c>
      <c r="F489" s="7">
        <v>45068</v>
      </c>
      <c r="G489" s="2">
        <v>132</v>
      </c>
      <c r="H489" s="2">
        <v>3.3</v>
      </c>
    </row>
    <row r="490" spans="2:8" x14ac:dyDescent="0.25">
      <c r="B490" s="2" t="s">
        <v>512</v>
      </c>
      <c r="C490" s="2" t="s">
        <v>8</v>
      </c>
      <c r="D490" s="2">
        <v>33</v>
      </c>
      <c r="E490" s="3" t="s">
        <v>6</v>
      </c>
      <c r="F490" s="7">
        <v>45068</v>
      </c>
      <c r="G490" s="2">
        <v>170</v>
      </c>
      <c r="H490" s="2">
        <v>3.8</v>
      </c>
    </row>
    <row r="491" spans="2:8" x14ac:dyDescent="0.25">
      <c r="B491" s="2" t="s">
        <v>513</v>
      </c>
      <c r="C491" s="2" t="s">
        <v>16</v>
      </c>
      <c r="D491" s="2">
        <v>115</v>
      </c>
      <c r="E491" s="3" t="s">
        <v>11</v>
      </c>
      <c r="F491" s="7">
        <v>45068</v>
      </c>
      <c r="G491" s="2">
        <v>42</v>
      </c>
      <c r="H491" s="2">
        <v>4.7</v>
      </c>
    </row>
    <row r="492" spans="2:8" x14ac:dyDescent="0.25">
      <c r="B492" s="2" t="s">
        <v>514</v>
      </c>
      <c r="C492" s="2" t="s">
        <v>21</v>
      </c>
      <c r="D492" s="2">
        <v>155</v>
      </c>
      <c r="E492" s="3" t="s">
        <v>13</v>
      </c>
      <c r="F492" s="7">
        <v>45069</v>
      </c>
      <c r="G492" s="2">
        <v>37</v>
      </c>
      <c r="H492" s="2">
        <v>4</v>
      </c>
    </row>
    <row r="493" spans="2:8" x14ac:dyDescent="0.25">
      <c r="B493" s="2" t="s">
        <v>515</v>
      </c>
      <c r="C493" s="2" t="s">
        <v>12</v>
      </c>
      <c r="D493" s="2">
        <v>117</v>
      </c>
      <c r="E493" s="3" t="s">
        <v>13</v>
      </c>
      <c r="F493" s="7">
        <v>45069</v>
      </c>
      <c r="G493" s="2">
        <v>88</v>
      </c>
      <c r="H493" s="2">
        <v>4.7</v>
      </c>
    </row>
    <row r="494" spans="2:8" x14ac:dyDescent="0.25">
      <c r="B494" s="2" t="s">
        <v>516</v>
      </c>
      <c r="C494" s="2" t="s">
        <v>5</v>
      </c>
      <c r="D494" s="2">
        <v>63</v>
      </c>
      <c r="E494" s="3" t="s">
        <v>13</v>
      </c>
      <c r="F494" s="7">
        <v>45069</v>
      </c>
      <c r="G494" s="2">
        <v>80</v>
      </c>
      <c r="H494" s="2">
        <v>2.5</v>
      </c>
    </row>
    <row r="495" spans="2:8" x14ac:dyDescent="0.25">
      <c r="B495" s="2" t="s">
        <v>517</v>
      </c>
      <c r="C495" s="2" t="s">
        <v>18</v>
      </c>
      <c r="D495" s="2">
        <v>59</v>
      </c>
      <c r="E495" s="3" t="s">
        <v>10</v>
      </c>
      <c r="F495" s="7">
        <v>45070</v>
      </c>
      <c r="G495" s="2">
        <v>123</v>
      </c>
      <c r="H495" s="2">
        <v>3.6</v>
      </c>
    </row>
    <row r="496" spans="2:8" x14ac:dyDescent="0.25">
      <c r="B496" s="2" t="s">
        <v>518</v>
      </c>
      <c r="C496" s="2" t="s">
        <v>7</v>
      </c>
      <c r="D496" s="2">
        <v>133</v>
      </c>
      <c r="E496" s="3" t="s">
        <v>6</v>
      </c>
      <c r="F496" s="7">
        <v>45070</v>
      </c>
      <c r="G496" s="2">
        <v>31</v>
      </c>
      <c r="H496" s="2">
        <v>3.7</v>
      </c>
    </row>
    <row r="497" spans="2:8" x14ac:dyDescent="0.25">
      <c r="B497" s="2" t="s">
        <v>519</v>
      </c>
      <c r="C497" s="2" t="s">
        <v>17</v>
      </c>
      <c r="D497" s="2">
        <v>101</v>
      </c>
      <c r="E497" s="3" t="s">
        <v>9</v>
      </c>
      <c r="F497" s="7">
        <v>45070</v>
      </c>
      <c r="G497" s="2">
        <v>205</v>
      </c>
      <c r="H497" s="2">
        <v>3.9</v>
      </c>
    </row>
    <row r="498" spans="2:8" x14ac:dyDescent="0.25">
      <c r="B498" s="2" t="s">
        <v>520</v>
      </c>
      <c r="C498" s="2" t="s">
        <v>14</v>
      </c>
      <c r="D498" s="2">
        <v>151</v>
      </c>
      <c r="E498" s="3" t="s">
        <v>13</v>
      </c>
      <c r="F498" s="7">
        <v>45071</v>
      </c>
      <c r="G498" s="2">
        <v>123</v>
      </c>
      <c r="H498" s="2">
        <v>3.7</v>
      </c>
    </row>
    <row r="499" spans="2:8" x14ac:dyDescent="0.25">
      <c r="B499" s="2" t="s">
        <v>521</v>
      </c>
      <c r="C499" s="2" t="s">
        <v>8</v>
      </c>
      <c r="D499" s="2">
        <v>146</v>
      </c>
      <c r="E499" s="3" t="s">
        <v>6</v>
      </c>
      <c r="F499" s="7">
        <v>45071</v>
      </c>
      <c r="G499" s="2">
        <v>123</v>
      </c>
      <c r="H499" s="2">
        <v>4.3</v>
      </c>
    </row>
    <row r="500" spans="2:8" x14ac:dyDescent="0.25">
      <c r="B500" s="2" t="s">
        <v>522</v>
      </c>
      <c r="C500" s="2" t="s">
        <v>5</v>
      </c>
      <c r="D500" s="2">
        <v>148</v>
      </c>
      <c r="E500" s="3" t="s">
        <v>6</v>
      </c>
      <c r="F500" s="7">
        <v>45071</v>
      </c>
      <c r="G500" s="2">
        <v>36</v>
      </c>
      <c r="H500" s="2">
        <v>2.9</v>
      </c>
    </row>
    <row r="501" spans="2:8" x14ac:dyDescent="0.25">
      <c r="B501" s="2" t="s">
        <v>523</v>
      </c>
      <c r="C501" s="2" t="s">
        <v>14</v>
      </c>
      <c r="D501" s="2">
        <v>81</v>
      </c>
      <c r="E501" s="3" t="s">
        <v>6</v>
      </c>
      <c r="F501" s="7">
        <v>45071</v>
      </c>
      <c r="G501" s="2">
        <v>116</v>
      </c>
      <c r="H501" s="2">
        <v>4.3</v>
      </c>
    </row>
    <row r="502" spans="2:8" x14ac:dyDescent="0.25">
      <c r="B502" s="2" t="s">
        <v>524</v>
      </c>
      <c r="C502" s="2" t="s">
        <v>22</v>
      </c>
      <c r="D502" s="2">
        <v>115</v>
      </c>
      <c r="E502" s="3" t="s">
        <v>6</v>
      </c>
      <c r="F502" s="7">
        <v>45071</v>
      </c>
      <c r="G502" s="2">
        <v>40</v>
      </c>
      <c r="H502" s="2">
        <v>4.9000000000000004</v>
      </c>
    </row>
    <row r="503" spans="2:8" x14ac:dyDescent="0.25">
      <c r="B503" s="2" t="s">
        <v>525</v>
      </c>
      <c r="C503" s="2" t="s">
        <v>22</v>
      </c>
      <c r="D503" s="2">
        <v>117</v>
      </c>
      <c r="E503" s="3" t="s">
        <v>13</v>
      </c>
      <c r="F503" s="7">
        <v>45071</v>
      </c>
      <c r="G503" s="2">
        <v>40</v>
      </c>
      <c r="H503" s="2">
        <v>4</v>
      </c>
    </row>
    <row r="504" spans="2:8" x14ac:dyDescent="0.25">
      <c r="B504" s="2" t="s">
        <v>526</v>
      </c>
      <c r="C504" s="2" t="s">
        <v>17</v>
      </c>
      <c r="D504" s="2">
        <v>110</v>
      </c>
      <c r="E504" s="3" t="s">
        <v>11</v>
      </c>
      <c r="F504" s="7">
        <v>45072</v>
      </c>
      <c r="G504" s="2">
        <v>82</v>
      </c>
      <c r="H504" s="2">
        <v>4</v>
      </c>
    </row>
    <row r="505" spans="2:8" x14ac:dyDescent="0.25">
      <c r="B505" s="2" t="s">
        <v>527</v>
      </c>
      <c r="C505" s="2" t="s">
        <v>24</v>
      </c>
      <c r="D505" s="2">
        <v>103</v>
      </c>
      <c r="E505" s="3" t="s">
        <v>10</v>
      </c>
      <c r="F505" s="7">
        <v>45072</v>
      </c>
      <c r="G505" s="2">
        <v>62</v>
      </c>
      <c r="H505" s="2">
        <v>3.4</v>
      </c>
    </row>
    <row r="506" spans="2:8" x14ac:dyDescent="0.25">
      <c r="B506" s="2" t="s">
        <v>528</v>
      </c>
      <c r="C506" s="2" t="s">
        <v>21</v>
      </c>
      <c r="D506" s="2">
        <v>45</v>
      </c>
      <c r="E506" s="3" t="s">
        <v>10</v>
      </c>
      <c r="F506" s="7">
        <v>45072</v>
      </c>
      <c r="G506" s="2">
        <v>135</v>
      </c>
      <c r="H506" s="2">
        <v>3.9</v>
      </c>
    </row>
    <row r="507" spans="2:8" x14ac:dyDescent="0.25">
      <c r="B507" s="2" t="s">
        <v>529</v>
      </c>
      <c r="C507" s="2" t="s">
        <v>17</v>
      </c>
      <c r="D507" s="2">
        <v>110</v>
      </c>
      <c r="E507" s="3" t="s">
        <v>9</v>
      </c>
      <c r="F507" s="7">
        <v>45072</v>
      </c>
      <c r="G507" s="2">
        <v>155</v>
      </c>
      <c r="H507" s="2">
        <v>2.1</v>
      </c>
    </row>
    <row r="508" spans="2:8" x14ac:dyDescent="0.25">
      <c r="B508" s="2" t="s">
        <v>530</v>
      </c>
      <c r="C508" s="2" t="s">
        <v>18</v>
      </c>
      <c r="D508" s="2">
        <v>43</v>
      </c>
      <c r="E508" s="3" t="s">
        <v>11</v>
      </c>
      <c r="F508" s="7">
        <v>45072</v>
      </c>
      <c r="G508" s="2">
        <v>37</v>
      </c>
      <c r="H508" s="2">
        <v>4.9000000000000004</v>
      </c>
    </row>
    <row r="509" spans="2:8" x14ac:dyDescent="0.25">
      <c r="B509" s="2" t="s">
        <v>531</v>
      </c>
      <c r="C509" s="2" t="s">
        <v>17</v>
      </c>
      <c r="D509" s="2">
        <v>104</v>
      </c>
      <c r="E509" s="3" t="s">
        <v>13</v>
      </c>
      <c r="F509" s="7">
        <v>45073</v>
      </c>
      <c r="G509" s="2">
        <v>56</v>
      </c>
      <c r="H509" s="2">
        <v>3.4</v>
      </c>
    </row>
    <row r="510" spans="2:8" x14ac:dyDescent="0.25">
      <c r="B510" s="2" t="s">
        <v>532</v>
      </c>
      <c r="C510" s="2" t="s">
        <v>17</v>
      </c>
      <c r="D510" s="2">
        <v>101</v>
      </c>
      <c r="E510" s="3" t="s">
        <v>13</v>
      </c>
      <c r="F510" s="7">
        <v>45073</v>
      </c>
      <c r="G510" s="2">
        <v>185</v>
      </c>
      <c r="H510" s="2">
        <v>5</v>
      </c>
    </row>
    <row r="511" spans="2:8" x14ac:dyDescent="0.25">
      <c r="B511" s="2" t="s">
        <v>533</v>
      </c>
      <c r="C511" s="2" t="s">
        <v>20</v>
      </c>
      <c r="D511" s="2">
        <v>55</v>
      </c>
      <c r="E511" s="3" t="s">
        <v>11</v>
      </c>
      <c r="F511" s="7">
        <v>45074</v>
      </c>
      <c r="G511" s="2">
        <v>145</v>
      </c>
      <c r="H511" s="2">
        <v>4.5</v>
      </c>
    </row>
    <row r="512" spans="2:8" x14ac:dyDescent="0.25">
      <c r="B512" s="2" t="s">
        <v>534</v>
      </c>
      <c r="C512" s="2" t="s">
        <v>14</v>
      </c>
      <c r="D512" s="2">
        <v>40</v>
      </c>
      <c r="E512" s="3" t="s">
        <v>10</v>
      </c>
      <c r="F512" s="7">
        <v>45074</v>
      </c>
      <c r="G512" s="2">
        <v>116</v>
      </c>
      <c r="H512" s="2">
        <v>2.6</v>
      </c>
    </row>
    <row r="513" spans="2:8" x14ac:dyDescent="0.25">
      <c r="B513" s="2" t="s">
        <v>535</v>
      </c>
      <c r="C513" s="2" t="s">
        <v>18</v>
      </c>
      <c r="D513" s="2">
        <v>122</v>
      </c>
      <c r="E513" s="3" t="s">
        <v>6</v>
      </c>
      <c r="F513" s="7">
        <v>45074</v>
      </c>
      <c r="G513" s="2">
        <v>45</v>
      </c>
      <c r="H513" s="2">
        <v>4.2</v>
      </c>
    </row>
    <row r="514" spans="2:8" x14ac:dyDescent="0.25">
      <c r="B514" s="2" t="s">
        <v>536</v>
      </c>
      <c r="C514" s="2" t="s">
        <v>8</v>
      </c>
      <c r="D514" s="2">
        <v>98</v>
      </c>
      <c r="E514" s="3" t="s">
        <v>13</v>
      </c>
      <c r="F514" s="7">
        <v>45075</v>
      </c>
      <c r="G514" s="2">
        <v>35</v>
      </c>
      <c r="H514" s="2">
        <v>4.5</v>
      </c>
    </row>
    <row r="515" spans="2:8" x14ac:dyDescent="0.25">
      <c r="B515" s="2" t="s">
        <v>537</v>
      </c>
      <c r="C515" s="2" t="s">
        <v>22</v>
      </c>
      <c r="D515" s="2">
        <v>110</v>
      </c>
      <c r="E515" s="3" t="s">
        <v>10</v>
      </c>
      <c r="F515" s="7">
        <v>45075</v>
      </c>
      <c r="G515" s="2">
        <v>100</v>
      </c>
      <c r="H515" s="2">
        <v>4.4000000000000004</v>
      </c>
    </row>
    <row r="516" spans="2:8" x14ac:dyDescent="0.25">
      <c r="B516" s="2" t="s">
        <v>538</v>
      </c>
      <c r="C516" s="2" t="s">
        <v>22</v>
      </c>
      <c r="D516" s="2">
        <v>62</v>
      </c>
      <c r="E516" s="3" t="s">
        <v>11</v>
      </c>
      <c r="F516" s="7">
        <v>45076</v>
      </c>
      <c r="G516" s="2">
        <v>125</v>
      </c>
      <c r="H516" s="2">
        <v>3.5</v>
      </c>
    </row>
    <row r="517" spans="2:8" x14ac:dyDescent="0.25">
      <c r="B517" s="2" t="s">
        <v>539</v>
      </c>
      <c r="C517" s="2" t="s">
        <v>18</v>
      </c>
      <c r="D517" s="2">
        <v>134</v>
      </c>
      <c r="E517" s="3" t="s">
        <v>6</v>
      </c>
      <c r="F517" s="7">
        <v>45076</v>
      </c>
      <c r="G517" s="2">
        <v>120</v>
      </c>
      <c r="H517" s="2">
        <v>3</v>
      </c>
    </row>
    <row r="518" spans="2:8" x14ac:dyDescent="0.25">
      <c r="B518" s="2" t="s">
        <v>540</v>
      </c>
      <c r="C518" s="2" t="s">
        <v>19</v>
      </c>
      <c r="D518" s="2">
        <v>94</v>
      </c>
      <c r="E518" s="3" t="s">
        <v>9</v>
      </c>
      <c r="F518" s="7">
        <v>45076</v>
      </c>
      <c r="G518" s="2">
        <v>180</v>
      </c>
      <c r="H518" s="2">
        <v>4.7</v>
      </c>
    </row>
    <row r="519" spans="2:8" x14ac:dyDescent="0.25">
      <c r="B519" s="2" t="s">
        <v>541</v>
      </c>
      <c r="C519" s="2" t="s">
        <v>15</v>
      </c>
      <c r="D519" s="2">
        <v>63</v>
      </c>
      <c r="E519" s="3" t="s">
        <v>10</v>
      </c>
      <c r="F519" s="7">
        <v>45076</v>
      </c>
      <c r="G519" s="2">
        <v>44</v>
      </c>
      <c r="H519" s="2">
        <v>3</v>
      </c>
    </row>
    <row r="520" spans="2:8" x14ac:dyDescent="0.25">
      <c r="B520" s="2" t="s">
        <v>542</v>
      </c>
      <c r="C520" s="2" t="s">
        <v>7</v>
      </c>
      <c r="D520" s="2">
        <v>95</v>
      </c>
      <c r="E520" s="3" t="s">
        <v>6</v>
      </c>
      <c r="F520" s="7">
        <v>45076</v>
      </c>
      <c r="G520" s="2">
        <v>86</v>
      </c>
      <c r="H520" s="2">
        <v>3.6</v>
      </c>
    </row>
    <row r="521" spans="2:8" x14ac:dyDescent="0.25">
      <c r="B521" s="2" t="s">
        <v>543</v>
      </c>
      <c r="C521" s="2" t="s">
        <v>18</v>
      </c>
      <c r="D521" s="2">
        <v>106</v>
      </c>
      <c r="E521" s="3" t="s">
        <v>6</v>
      </c>
      <c r="F521" s="7">
        <v>45077</v>
      </c>
      <c r="G521" s="2">
        <v>120</v>
      </c>
      <c r="H521" s="2">
        <v>4.0999999999999996</v>
      </c>
    </row>
    <row r="522" spans="2:8" x14ac:dyDescent="0.25">
      <c r="B522" s="2" t="s">
        <v>544</v>
      </c>
      <c r="C522" s="2" t="s">
        <v>21</v>
      </c>
      <c r="D522" s="2">
        <v>94</v>
      </c>
      <c r="E522" s="3" t="s">
        <v>9</v>
      </c>
      <c r="F522" s="7">
        <v>45077</v>
      </c>
      <c r="G522" s="2">
        <v>100</v>
      </c>
      <c r="H522" s="2">
        <v>3.7</v>
      </c>
    </row>
    <row r="523" spans="2:8" x14ac:dyDescent="0.25">
      <c r="B523" s="2" t="s">
        <v>545</v>
      </c>
      <c r="C523" s="2" t="s">
        <v>21</v>
      </c>
      <c r="D523" s="2">
        <v>51</v>
      </c>
      <c r="E523" s="3" t="s">
        <v>9</v>
      </c>
      <c r="F523" s="7">
        <v>45078</v>
      </c>
      <c r="G523" s="2">
        <v>108</v>
      </c>
      <c r="H523" s="2">
        <v>4.5</v>
      </c>
    </row>
    <row r="524" spans="2:8" x14ac:dyDescent="0.25">
      <c r="B524" s="2" t="s">
        <v>546</v>
      </c>
      <c r="C524" s="2" t="s">
        <v>5</v>
      </c>
      <c r="D524" s="2">
        <v>39</v>
      </c>
      <c r="E524" s="3" t="s">
        <v>9</v>
      </c>
      <c r="F524" s="7">
        <v>45078</v>
      </c>
      <c r="G524" s="2">
        <v>46</v>
      </c>
      <c r="H524" s="2">
        <v>4.5999999999999996</v>
      </c>
    </row>
    <row r="525" spans="2:8" x14ac:dyDescent="0.25">
      <c r="B525" s="2" t="s">
        <v>547</v>
      </c>
      <c r="C525" s="2" t="s">
        <v>14</v>
      </c>
      <c r="D525" s="2">
        <v>111</v>
      </c>
      <c r="E525" s="3" t="s">
        <v>6</v>
      </c>
      <c r="F525" s="7">
        <v>45078</v>
      </c>
      <c r="G525" s="2">
        <v>210</v>
      </c>
      <c r="H525" s="2">
        <v>4.3</v>
      </c>
    </row>
    <row r="526" spans="2:8" x14ac:dyDescent="0.25">
      <c r="B526" s="2" t="s">
        <v>548</v>
      </c>
      <c r="C526" s="2" t="s">
        <v>16</v>
      </c>
      <c r="D526" s="2">
        <v>141</v>
      </c>
      <c r="E526" s="3" t="s">
        <v>11</v>
      </c>
      <c r="F526" s="7">
        <v>45080</v>
      </c>
      <c r="G526" s="2">
        <v>54</v>
      </c>
      <c r="H526" s="2">
        <v>4.8</v>
      </c>
    </row>
    <row r="527" spans="2:8" x14ac:dyDescent="0.25">
      <c r="B527" s="2" t="s">
        <v>549</v>
      </c>
      <c r="C527" s="2" t="s">
        <v>15</v>
      </c>
      <c r="D527" s="2">
        <v>147</v>
      </c>
      <c r="E527" s="3" t="s">
        <v>6</v>
      </c>
      <c r="F527" s="7">
        <v>45080</v>
      </c>
      <c r="G527" s="2">
        <v>115</v>
      </c>
      <c r="H527" s="2">
        <v>4.7</v>
      </c>
    </row>
    <row r="528" spans="2:8" x14ac:dyDescent="0.25">
      <c r="B528" s="2" t="s">
        <v>550</v>
      </c>
      <c r="C528" s="2" t="s">
        <v>19</v>
      </c>
      <c r="D528" s="2">
        <v>49</v>
      </c>
      <c r="E528" s="3" t="s">
        <v>9</v>
      </c>
      <c r="F528" s="7">
        <v>45081</v>
      </c>
      <c r="G528" s="2">
        <v>100</v>
      </c>
      <c r="H528" s="2">
        <v>2.2000000000000002</v>
      </c>
    </row>
    <row r="529" spans="2:8" x14ac:dyDescent="0.25">
      <c r="B529" s="2" t="s">
        <v>551</v>
      </c>
      <c r="C529" s="2" t="s">
        <v>23</v>
      </c>
      <c r="D529" s="2">
        <v>75</v>
      </c>
      <c r="E529" s="3" t="s">
        <v>6</v>
      </c>
      <c r="F529" s="7">
        <v>45081</v>
      </c>
      <c r="G529" s="2">
        <v>38</v>
      </c>
      <c r="H529" s="2">
        <v>4.4000000000000004</v>
      </c>
    </row>
    <row r="530" spans="2:8" x14ac:dyDescent="0.25">
      <c r="B530" s="2" t="s">
        <v>552</v>
      </c>
      <c r="C530" s="2" t="s">
        <v>16</v>
      </c>
      <c r="D530" s="2">
        <v>48</v>
      </c>
      <c r="E530" s="3" t="s">
        <v>11</v>
      </c>
      <c r="F530" s="7">
        <v>45082</v>
      </c>
      <c r="G530" s="2">
        <v>120</v>
      </c>
      <c r="H530" s="2">
        <v>4.0999999999999996</v>
      </c>
    </row>
    <row r="531" spans="2:8" x14ac:dyDescent="0.25">
      <c r="B531" s="2" t="s">
        <v>553</v>
      </c>
      <c r="C531" s="2" t="s">
        <v>22</v>
      </c>
      <c r="D531" s="2">
        <v>48</v>
      </c>
      <c r="E531" s="3" t="s">
        <v>11</v>
      </c>
      <c r="F531" s="7">
        <v>45082</v>
      </c>
      <c r="G531" s="2">
        <v>120</v>
      </c>
      <c r="H531" s="2">
        <v>4.0999999999999996</v>
      </c>
    </row>
    <row r="532" spans="2:8" x14ac:dyDescent="0.25">
      <c r="B532" s="2" t="s">
        <v>554</v>
      </c>
      <c r="C532" s="2" t="s">
        <v>12</v>
      </c>
      <c r="D532" s="2">
        <v>138</v>
      </c>
      <c r="E532" s="3" t="s">
        <v>9</v>
      </c>
      <c r="F532" s="7">
        <v>45082</v>
      </c>
      <c r="G532" s="2">
        <v>29</v>
      </c>
      <c r="H532" s="2">
        <v>4.4000000000000004</v>
      </c>
    </row>
    <row r="533" spans="2:8" x14ac:dyDescent="0.25">
      <c r="B533" s="2" t="s">
        <v>555</v>
      </c>
      <c r="C533" s="2" t="s">
        <v>7</v>
      </c>
      <c r="D533" s="2">
        <v>144</v>
      </c>
      <c r="E533" s="3" t="s">
        <v>9</v>
      </c>
      <c r="F533" s="7">
        <v>45083</v>
      </c>
      <c r="G533" s="2">
        <v>25</v>
      </c>
      <c r="H533" s="2">
        <v>3.7</v>
      </c>
    </row>
    <row r="534" spans="2:8" x14ac:dyDescent="0.25">
      <c r="B534" s="2" t="s">
        <v>556</v>
      </c>
      <c r="C534" s="2" t="s">
        <v>17</v>
      </c>
      <c r="D534" s="2">
        <v>119</v>
      </c>
      <c r="E534" s="3" t="s">
        <v>6</v>
      </c>
      <c r="F534" s="7">
        <v>45084</v>
      </c>
      <c r="G534" s="2">
        <v>116</v>
      </c>
      <c r="H534" s="2">
        <v>3.8</v>
      </c>
    </row>
    <row r="535" spans="2:8" x14ac:dyDescent="0.25">
      <c r="B535" s="2" t="s">
        <v>557</v>
      </c>
      <c r="C535" s="2" t="s">
        <v>12</v>
      </c>
      <c r="D535" s="2">
        <v>101</v>
      </c>
      <c r="E535" s="3" t="s">
        <v>11</v>
      </c>
      <c r="F535" s="7">
        <v>45085</v>
      </c>
      <c r="G535" s="2">
        <v>132</v>
      </c>
      <c r="H535" s="2">
        <v>4.3</v>
      </c>
    </row>
    <row r="536" spans="2:8" x14ac:dyDescent="0.25">
      <c r="B536" s="2" t="s">
        <v>558</v>
      </c>
      <c r="C536" s="2" t="s">
        <v>7</v>
      </c>
      <c r="D536" s="2">
        <v>59</v>
      </c>
      <c r="E536" s="3" t="s">
        <v>6</v>
      </c>
      <c r="F536" s="7">
        <v>45086</v>
      </c>
      <c r="G536" s="2">
        <v>90</v>
      </c>
      <c r="H536" s="2">
        <v>3.5</v>
      </c>
    </row>
    <row r="537" spans="2:8" x14ac:dyDescent="0.25">
      <c r="B537" s="2" t="s">
        <v>559</v>
      </c>
      <c r="C537" s="2" t="s">
        <v>14</v>
      </c>
      <c r="D537" s="2">
        <v>125</v>
      </c>
      <c r="E537" s="3" t="s">
        <v>10</v>
      </c>
      <c r="F537" s="7">
        <v>45086</v>
      </c>
      <c r="G537" s="2">
        <v>87</v>
      </c>
      <c r="H537" s="2">
        <v>4.0999999999999996</v>
      </c>
    </row>
    <row r="538" spans="2:8" x14ac:dyDescent="0.25">
      <c r="B538" s="2" t="s">
        <v>560</v>
      </c>
      <c r="C538" s="2" t="s">
        <v>18</v>
      </c>
      <c r="D538" s="2">
        <v>147</v>
      </c>
      <c r="E538" s="3" t="s">
        <v>6</v>
      </c>
      <c r="F538" s="7">
        <v>45086</v>
      </c>
      <c r="G538" s="2">
        <v>140</v>
      </c>
      <c r="H538" s="2">
        <v>4.2</v>
      </c>
    </row>
    <row r="539" spans="2:8" x14ac:dyDescent="0.25">
      <c r="B539" s="2" t="s">
        <v>561</v>
      </c>
      <c r="C539" s="2" t="s">
        <v>24</v>
      </c>
      <c r="D539" s="2">
        <v>76</v>
      </c>
      <c r="E539" s="3" t="s">
        <v>6</v>
      </c>
      <c r="F539" s="7">
        <v>45086</v>
      </c>
      <c r="G539" s="2">
        <v>164</v>
      </c>
      <c r="H539" s="2">
        <v>4.5</v>
      </c>
    </row>
    <row r="540" spans="2:8" x14ac:dyDescent="0.25">
      <c r="B540" s="2" t="s">
        <v>562</v>
      </c>
      <c r="C540" s="2" t="s">
        <v>15</v>
      </c>
      <c r="D540" s="2">
        <v>99</v>
      </c>
      <c r="E540" s="3" t="s">
        <v>11</v>
      </c>
      <c r="F540" s="7">
        <v>45087</v>
      </c>
      <c r="G540" s="2">
        <v>180</v>
      </c>
      <c r="H540" s="2">
        <v>3.8</v>
      </c>
    </row>
    <row r="541" spans="2:8" x14ac:dyDescent="0.25">
      <c r="B541" s="2" t="s">
        <v>563</v>
      </c>
      <c r="C541" s="2" t="s">
        <v>5</v>
      </c>
      <c r="D541" s="2">
        <v>111</v>
      </c>
      <c r="E541" s="3" t="s">
        <v>13</v>
      </c>
      <c r="F541" s="7">
        <v>45088</v>
      </c>
      <c r="G541" s="2">
        <v>22</v>
      </c>
      <c r="H541" s="2">
        <v>4.0999999999999996</v>
      </c>
    </row>
    <row r="542" spans="2:8" x14ac:dyDescent="0.25">
      <c r="B542" s="2" t="s">
        <v>564</v>
      </c>
      <c r="C542" s="2" t="s">
        <v>8</v>
      </c>
      <c r="D542" s="2">
        <v>147</v>
      </c>
      <c r="E542" s="3" t="s">
        <v>10</v>
      </c>
      <c r="F542" s="7">
        <v>45088</v>
      </c>
      <c r="G542" s="2">
        <v>82</v>
      </c>
      <c r="H542" s="2">
        <v>4.4000000000000004</v>
      </c>
    </row>
    <row r="543" spans="2:8" x14ac:dyDescent="0.25">
      <c r="B543" s="2" t="s">
        <v>565</v>
      </c>
      <c r="C543" s="2" t="s">
        <v>20</v>
      </c>
      <c r="D543" s="2">
        <v>141</v>
      </c>
      <c r="E543" s="3" t="s">
        <v>11</v>
      </c>
      <c r="F543" s="7">
        <v>45088</v>
      </c>
      <c r="G543" s="2">
        <v>100</v>
      </c>
      <c r="H543" s="2">
        <v>4.5999999999999996</v>
      </c>
    </row>
    <row r="544" spans="2:8" x14ac:dyDescent="0.25">
      <c r="B544" s="2" t="s">
        <v>566</v>
      </c>
      <c r="C544" s="2" t="s">
        <v>24</v>
      </c>
      <c r="D544" s="2">
        <v>71</v>
      </c>
      <c r="E544" s="3" t="s">
        <v>6</v>
      </c>
      <c r="F544" s="7">
        <v>45089</v>
      </c>
      <c r="G544" s="2">
        <v>52</v>
      </c>
      <c r="H544" s="2">
        <v>3.4</v>
      </c>
    </row>
    <row r="545" spans="2:8" x14ac:dyDescent="0.25">
      <c r="B545" s="2" t="s">
        <v>567</v>
      </c>
      <c r="C545" s="2" t="s">
        <v>24</v>
      </c>
      <c r="D545" s="2">
        <v>121</v>
      </c>
      <c r="E545" s="3" t="s">
        <v>10</v>
      </c>
      <c r="F545" s="7">
        <v>45090</v>
      </c>
      <c r="G545" s="2">
        <v>84</v>
      </c>
      <c r="H545" s="2">
        <v>4.5999999999999996</v>
      </c>
    </row>
    <row r="546" spans="2:8" x14ac:dyDescent="0.25">
      <c r="B546" s="2" t="s">
        <v>568</v>
      </c>
      <c r="C546" s="2" t="s">
        <v>24</v>
      </c>
      <c r="D546" s="2">
        <v>60</v>
      </c>
      <c r="E546" s="3" t="s">
        <v>10</v>
      </c>
      <c r="F546" s="7">
        <v>45090</v>
      </c>
      <c r="G546" s="2">
        <v>37</v>
      </c>
      <c r="H546" s="2">
        <v>3.9</v>
      </c>
    </row>
    <row r="547" spans="2:8" x14ac:dyDescent="0.25">
      <c r="B547" s="2" t="s">
        <v>569</v>
      </c>
      <c r="C547" s="2" t="s">
        <v>19</v>
      </c>
      <c r="D547" s="2">
        <v>158</v>
      </c>
      <c r="E547" s="3" t="s">
        <v>11</v>
      </c>
      <c r="F547" s="7">
        <v>45091</v>
      </c>
      <c r="G547" s="2">
        <v>190</v>
      </c>
      <c r="H547" s="2">
        <v>4</v>
      </c>
    </row>
    <row r="548" spans="2:8" x14ac:dyDescent="0.25">
      <c r="B548" s="2" t="s">
        <v>570</v>
      </c>
      <c r="C548" s="2" t="s">
        <v>18</v>
      </c>
      <c r="D548" s="2">
        <v>159</v>
      </c>
      <c r="E548" s="3" t="s">
        <v>9</v>
      </c>
      <c r="F548" s="7">
        <v>45091</v>
      </c>
      <c r="G548" s="2">
        <v>66</v>
      </c>
      <c r="H548" s="2">
        <v>3.4</v>
      </c>
    </row>
    <row r="549" spans="2:8" x14ac:dyDescent="0.25">
      <c r="B549" s="2" t="s">
        <v>571</v>
      </c>
      <c r="C549" s="2" t="s">
        <v>12</v>
      </c>
      <c r="D549" s="2">
        <v>70</v>
      </c>
      <c r="E549" s="3" t="s">
        <v>6</v>
      </c>
      <c r="F549" s="7">
        <v>45092</v>
      </c>
      <c r="G549" s="2">
        <v>116</v>
      </c>
      <c r="H549" s="2">
        <v>3.2</v>
      </c>
    </row>
    <row r="550" spans="2:8" x14ac:dyDescent="0.25">
      <c r="B550" s="2" t="s">
        <v>572</v>
      </c>
      <c r="C550" s="2" t="s">
        <v>16</v>
      </c>
      <c r="D550" s="2">
        <v>78</v>
      </c>
      <c r="E550" s="3" t="s">
        <v>13</v>
      </c>
      <c r="F550" s="7">
        <v>45092</v>
      </c>
      <c r="G550" s="2">
        <v>28</v>
      </c>
      <c r="H550" s="2">
        <v>3.9</v>
      </c>
    </row>
    <row r="551" spans="2:8" x14ac:dyDescent="0.25">
      <c r="B551" s="2" t="s">
        <v>573</v>
      </c>
      <c r="C551" s="2" t="s">
        <v>8</v>
      </c>
      <c r="D551" s="2">
        <v>103</v>
      </c>
      <c r="E551" s="3" t="s">
        <v>6</v>
      </c>
      <c r="F551" s="7">
        <v>45092</v>
      </c>
      <c r="G551" s="2">
        <v>120</v>
      </c>
      <c r="H551" s="2">
        <v>5</v>
      </c>
    </row>
    <row r="552" spans="2:8" x14ac:dyDescent="0.25">
      <c r="B552" s="2" t="s">
        <v>574</v>
      </c>
      <c r="C552" s="2" t="s">
        <v>23</v>
      </c>
      <c r="D552" s="2">
        <v>108</v>
      </c>
      <c r="E552" s="3" t="s">
        <v>11</v>
      </c>
      <c r="F552" s="7">
        <v>45092</v>
      </c>
      <c r="G552" s="2">
        <v>56</v>
      </c>
      <c r="H552" s="2">
        <v>3.5</v>
      </c>
    </row>
    <row r="553" spans="2:8" x14ac:dyDescent="0.25">
      <c r="B553" s="2" t="s">
        <v>575</v>
      </c>
      <c r="C553" s="2" t="s">
        <v>23</v>
      </c>
      <c r="D553" s="2">
        <v>44</v>
      </c>
      <c r="E553" s="3" t="s">
        <v>10</v>
      </c>
      <c r="F553" s="7">
        <v>45092</v>
      </c>
      <c r="G553" s="2">
        <v>170</v>
      </c>
      <c r="H553" s="2">
        <v>3.8</v>
      </c>
    </row>
    <row r="554" spans="2:8" x14ac:dyDescent="0.25">
      <c r="B554" s="2" t="s">
        <v>576</v>
      </c>
      <c r="C554" s="2" t="s">
        <v>16</v>
      </c>
      <c r="D554" s="2">
        <v>127</v>
      </c>
      <c r="E554" s="3" t="s">
        <v>11</v>
      </c>
      <c r="F554" s="7">
        <v>45093</v>
      </c>
      <c r="G554" s="2">
        <v>200</v>
      </c>
      <c r="H554" s="2">
        <v>4.8</v>
      </c>
    </row>
    <row r="555" spans="2:8" x14ac:dyDescent="0.25">
      <c r="B555" s="2" t="s">
        <v>577</v>
      </c>
      <c r="C555" s="2" t="s">
        <v>8</v>
      </c>
      <c r="D555" s="2">
        <v>132</v>
      </c>
      <c r="E555" s="3" t="s">
        <v>6</v>
      </c>
      <c r="F555" s="7">
        <v>45094</v>
      </c>
      <c r="G555" s="2">
        <v>50</v>
      </c>
      <c r="H555" s="2">
        <v>4.2</v>
      </c>
    </row>
    <row r="556" spans="2:8" x14ac:dyDescent="0.25">
      <c r="B556" s="2" t="s">
        <v>578</v>
      </c>
      <c r="C556" s="2" t="s">
        <v>20</v>
      </c>
      <c r="D556" s="2">
        <v>106</v>
      </c>
      <c r="E556" s="3" t="s">
        <v>13</v>
      </c>
      <c r="F556" s="7">
        <v>45094</v>
      </c>
      <c r="G556" s="2">
        <v>112</v>
      </c>
      <c r="H556" s="2">
        <v>3.7</v>
      </c>
    </row>
    <row r="557" spans="2:8" x14ac:dyDescent="0.25">
      <c r="B557" s="2" t="s">
        <v>579</v>
      </c>
      <c r="C557" s="2" t="s">
        <v>5</v>
      </c>
      <c r="D557" s="2">
        <v>107</v>
      </c>
      <c r="E557" s="3" t="s">
        <v>6</v>
      </c>
      <c r="F557" s="7">
        <v>45095</v>
      </c>
      <c r="G557" s="2">
        <v>39</v>
      </c>
      <c r="H557" s="2">
        <v>4.8</v>
      </c>
    </row>
    <row r="558" spans="2:8" x14ac:dyDescent="0.25">
      <c r="B558" s="2" t="s">
        <v>580</v>
      </c>
      <c r="C558" s="2" t="s">
        <v>18</v>
      </c>
      <c r="D558" s="2">
        <v>85</v>
      </c>
      <c r="E558" s="3" t="s">
        <v>13</v>
      </c>
      <c r="F558" s="7">
        <v>45095</v>
      </c>
      <c r="G558" s="2">
        <v>38</v>
      </c>
      <c r="H558" s="2">
        <v>4.8</v>
      </c>
    </row>
    <row r="559" spans="2:8" x14ac:dyDescent="0.25">
      <c r="B559" s="2" t="s">
        <v>581</v>
      </c>
      <c r="C559" s="2" t="s">
        <v>15</v>
      </c>
      <c r="D559" s="2">
        <v>49</v>
      </c>
      <c r="E559" s="3" t="s">
        <v>6</v>
      </c>
      <c r="F559" s="7">
        <v>45096</v>
      </c>
      <c r="G559" s="2">
        <v>84</v>
      </c>
      <c r="H559" s="2">
        <v>2.9</v>
      </c>
    </row>
    <row r="560" spans="2:8" x14ac:dyDescent="0.25">
      <c r="B560" s="2" t="s">
        <v>582</v>
      </c>
      <c r="C560" s="2" t="s">
        <v>24</v>
      </c>
      <c r="D560" s="2">
        <v>117</v>
      </c>
      <c r="E560" s="3" t="s">
        <v>11</v>
      </c>
      <c r="F560" s="7">
        <v>45097</v>
      </c>
      <c r="G560" s="2">
        <v>82</v>
      </c>
      <c r="H560" s="2">
        <v>3.5</v>
      </c>
    </row>
    <row r="561" spans="2:8" x14ac:dyDescent="0.25">
      <c r="B561" s="2" t="s">
        <v>583</v>
      </c>
      <c r="C561" s="2" t="s">
        <v>5</v>
      </c>
      <c r="D561" s="2">
        <v>136</v>
      </c>
      <c r="E561" s="3" t="s">
        <v>13</v>
      </c>
      <c r="F561" s="7">
        <v>45097</v>
      </c>
      <c r="G561" s="2">
        <v>37</v>
      </c>
      <c r="H561" s="2">
        <v>0.9</v>
      </c>
    </row>
    <row r="562" spans="2:8" x14ac:dyDescent="0.25">
      <c r="B562" s="2" t="s">
        <v>584</v>
      </c>
      <c r="C562" s="2" t="s">
        <v>23</v>
      </c>
      <c r="D562" s="2">
        <v>130</v>
      </c>
      <c r="E562" s="3" t="s">
        <v>9</v>
      </c>
      <c r="F562" s="7">
        <v>45098</v>
      </c>
      <c r="G562" s="2">
        <v>87</v>
      </c>
      <c r="H562" s="2">
        <v>3.4</v>
      </c>
    </row>
    <row r="563" spans="2:8" x14ac:dyDescent="0.25">
      <c r="B563" s="2" t="s">
        <v>585</v>
      </c>
      <c r="C563" s="2" t="s">
        <v>23</v>
      </c>
      <c r="D563" s="2">
        <v>73</v>
      </c>
      <c r="E563" s="3" t="s">
        <v>9</v>
      </c>
      <c r="F563" s="7">
        <v>45098</v>
      </c>
      <c r="G563" s="2">
        <v>75</v>
      </c>
      <c r="H563" s="2">
        <v>2.7</v>
      </c>
    </row>
    <row r="564" spans="2:8" x14ac:dyDescent="0.25">
      <c r="B564" s="2" t="s">
        <v>586</v>
      </c>
      <c r="C564" s="2" t="s">
        <v>15</v>
      </c>
      <c r="D564" s="2">
        <v>80</v>
      </c>
      <c r="E564" s="3" t="s">
        <v>6</v>
      </c>
      <c r="F564" s="7">
        <v>45098</v>
      </c>
      <c r="G564" s="2">
        <v>32</v>
      </c>
      <c r="H564" s="2">
        <v>4.7</v>
      </c>
    </row>
    <row r="565" spans="2:8" x14ac:dyDescent="0.25">
      <c r="B565" s="2" t="s">
        <v>587</v>
      </c>
      <c r="C565" s="2" t="s">
        <v>17</v>
      </c>
      <c r="D565" s="2">
        <v>44</v>
      </c>
      <c r="E565" s="3" t="s">
        <v>11</v>
      </c>
      <c r="F565" s="7">
        <v>45098</v>
      </c>
      <c r="G565" s="2">
        <v>33</v>
      </c>
      <c r="H565" s="2">
        <v>3</v>
      </c>
    </row>
    <row r="566" spans="2:8" x14ac:dyDescent="0.25">
      <c r="B566" s="2" t="s">
        <v>588</v>
      </c>
      <c r="C566" s="2" t="s">
        <v>17</v>
      </c>
      <c r="D566" s="2">
        <v>102</v>
      </c>
      <c r="E566" s="3" t="s">
        <v>10</v>
      </c>
      <c r="F566" s="7">
        <v>45098</v>
      </c>
      <c r="G566" s="2">
        <v>76</v>
      </c>
      <c r="H566" s="2">
        <v>4.2</v>
      </c>
    </row>
    <row r="567" spans="2:8" x14ac:dyDescent="0.25">
      <c r="B567" s="2" t="s">
        <v>589</v>
      </c>
      <c r="C567" s="2" t="s">
        <v>19</v>
      </c>
      <c r="D567" s="2">
        <v>74</v>
      </c>
      <c r="E567" s="3" t="s">
        <v>10</v>
      </c>
      <c r="F567" s="7">
        <v>45098</v>
      </c>
      <c r="G567" s="2">
        <v>117</v>
      </c>
      <c r="H567" s="2">
        <v>4.8</v>
      </c>
    </row>
    <row r="568" spans="2:8" x14ac:dyDescent="0.25">
      <c r="B568" s="2" t="s">
        <v>590</v>
      </c>
      <c r="C568" s="2" t="s">
        <v>15</v>
      </c>
      <c r="D568" s="2">
        <v>52</v>
      </c>
      <c r="E568" s="3" t="s">
        <v>11</v>
      </c>
      <c r="F568" s="7">
        <v>45100</v>
      </c>
      <c r="G568" s="2">
        <v>70</v>
      </c>
      <c r="H568" s="2">
        <v>4.0999999999999996</v>
      </c>
    </row>
    <row r="569" spans="2:8" x14ac:dyDescent="0.25">
      <c r="B569" s="2" t="s">
        <v>591</v>
      </c>
      <c r="C569" s="2" t="s">
        <v>15</v>
      </c>
      <c r="D569" s="2">
        <v>74</v>
      </c>
      <c r="E569" s="3" t="s">
        <v>9</v>
      </c>
      <c r="F569" s="7">
        <v>45100</v>
      </c>
      <c r="G569" s="2">
        <v>37</v>
      </c>
      <c r="H569" s="2">
        <v>2.7</v>
      </c>
    </row>
    <row r="570" spans="2:8" x14ac:dyDescent="0.25">
      <c r="B570" s="2" t="s">
        <v>592</v>
      </c>
      <c r="C570" s="2" t="s">
        <v>23</v>
      </c>
      <c r="D570" s="2">
        <v>96</v>
      </c>
      <c r="E570" s="3" t="s">
        <v>10</v>
      </c>
      <c r="F570" s="7">
        <v>45100</v>
      </c>
      <c r="G570" s="2">
        <v>46</v>
      </c>
      <c r="H570" s="2">
        <v>2.9</v>
      </c>
    </row>
    <row r="571" spans="2:8" x14ac:dyDescent="0.25">
      <c r="B571" s="2" t="s">
        <v>593</v>
      </c>
      <c r="C571" s="2" t="s">
        <v>14</v>
      </c>
      <c r="D571" s="2">
        <v>104</v>
      </c>
      <c r="E571" s="3" t="s">
        <v>6</v>
      </c>
      <c r="F571" s="7">
        <v>45100</v>
      </c>
      <c r="G571" s="2">
        <v>136</v>
      </c>
      <c r="H571" s="2">
        <v>5</v>
      </c>
    </row>
    <row r="572" spans="2:8" x14ac:dyDescent="0.25">
      <c r="B572" s="2" t="s">
        <v>594</v>
      </c>
      <c r="C572" s="2" t="s">
        <v>23</v>
      </c>
      <c r="D572" s="2">
        <v>123</v>
      </c>
      <c r="E572" s="3" t="s">
        <v>10</v>
      </c>
      <c r="F572" s="7">
        <v>45101</v>
      </c>
      <c r="G572" s="2">
        <v>44</v>
      </c>
      <c r="H572" s="2">
        <v>4.5999999999999996</v>
      </c>
    </row>
    <row r="573" spans="2:8" x14ac:dyDescent="0.25">
      <c r="B573" s="2" t="s">
        <v>595</v>
      </c>
      <c r="C573" s="2" t="s">
        <v>22</v>
      </c>
      <c r="D573" s="2">
        <v>100</v>
      </c>
      <c r="E573" s="3" t="s">
        <v>13</v>
      </c>
      <c r="F573" s="7">
        <v>45101</v>
      </c>
      <c r="G573" s="2">
        <v>69</v>
      </c>
      <c r="H573" s="2">
        <v>3</v>
      </c>
    </row>
    <row r="574" spans="2:8" x14ac:dyDescent="0.25">
      <c r="B574" s="2" t="s">
        <v>596</v>
      </c>
      <c r="C574" s="2" t="s">
        <v>14</v>
      </c>
      <c r="D574" s="2">
        <v>35</v>
      </c>
      <c r="E574" s="3" t="s">
        <v>11</v>
      </c>
      <c r="F574" s="7">
        <v>45102</v>
      </c>
      <c r="G574" s="2">
        <v>86</v>
      </c>
      <c r="H574" s="2">
        <v>4.5999999999999996</v>
      </c>
    </row>
    <row r="575" spans="2:8" x14ac:dyDescent="0.25">
      <c r="B575" s="2" t="s">
        <v>597</v>
      </c>
      <c r="C575" s="2" t="s">
        <v>15</v>
      </c>
      <c r="D575" s="2">
        <v>123</v>
      </c>
      <c r="E575" s="3" t="s">
        <v>6</v>
      </c>
      <c r="F575" s="7">
        <v>45102</v>
      </c>
      <c r="G575" s="2">
        <v>68</v>
      </c>
      <c r="H575" s="2">
        <v>4.5</v>
      </c>
    </row>
    <row r="576" spans="2:8" x14ac:dyDescent="0.25">
      <c r="B576" s="2" t="s">
        <v>598</v>
      </c>
      <c r="C576" s="2" t="s">
        <v>24</v>
      </c>
      <c r="D576" s="2">
        <v>133</v>
      </c>
      <c r="E576" s="3" t="s">
        <v>11</v>
      </c>
      <c r="F576" s="7">
        <v>45103</v>
      </c>
      <c r="G576" s="2">
        <v>21</v>
      </c>
      <c r="H576" s="2">
        <v>3.7</v>
      </c>
    </row>
    <row r="577" spans="2:8" x14ac:dyDescent="0.25">
      <c r="B577" s="2" t="s">
        <v>599</v>
      </c>
      <c r="C577" s="2" t="s">
        <v>23</v>
      </c>
      <c r="D577" s="2">
        <v>126</v>
      </c>
      <c r="E577" s="3" t="s">
        <v>9</v>
      </c>
      <c r="F577" s="7">
        <v>45103</v>
      </c>
      <c r="G577" s="2">
        <v>190</v>
      </c>
      <c r="H577" s="2">
        <v>2.4</v>
      </c>
    </row>
    <row r="578" spans="2:8" x14ac:dyDescent="0.25">
      <c r="B578" s="2" t="s">
        <v>600</v>
      </c>
      <c r="C578" s="2" t="s">
        <v>15</v>
      </c>
      <c r="D578" s="2">
        <v>39</v>
      </c>
      <c r="E578" s="3" t="s">
        <v>10</v>
      </c>
      <c r="F578" s="7">
        <v>45103</v>
      </c>
      <c r="G578" s="2">
        <v>176</v>
      </c>
      <c r="H578" s="2">
        <v>4.3</v>
      </c>
    </row>
    <row r="579" spans="2:8" x14ac:dyDescent="0.25">
      <c r="B579" s="2" t="s">
        <v>601</v>
      </c>
      <c r="C579" s="2" t="s">
        <v>19</v>
      </c>
      <c r="D579" s="2">
        <v>31</v>
      </c>
      <c r="E579" s="3" t="s">
        <v>6</v>
      </c>
      <c r="F579" s="7">
        <v>45103</v>
      </c>
      <c r="G579" s="2">
        <v>172</v>
      </c>
      <c r="H579" s="2">
        <v>3.9</v>
      </c>
    </row>
    <row r="580" spans="2:8" x14ac:dyDescent="0.25">
      <c r="B580" s="2" t="s">
        <v>602</v>
      </c>
      <c r="C580" s="2" t="s">
        <v>8</v>
      </c>
      <c r="D580" s="2">
        <v>25</v>
      </c>
      <c r="E580" s="3" t="s">
        <v>11</v>
      </c>
      <c r="F580" s="7">
        <v>45103</v>
      </c>
      <c r="G580" s="2">
        <v>84</v>
      </c>
      <c r="H580" s="2">
        <v>4.5</v>
      </c>
    </row>
    <row r="581" spans="2:8" x14ac:dyDescent="0.25">
      <c r="B581" s="2" t="s">
        <v>603</v>
      </c>
      <c r="C581" s="2" t="s">
        <v>12</v>
      </c>
      <c r="D581" s="2">
        <v>132</v>
      </c>
      <c r="E581" s="3" t="s">
        <v>13</v>
      </c>
      <c r="F581" s="7">
        <v>45104</v>
      </c>
      <c r="G581" s="2">
        <v>42</v>
      </c>
      <c r="H581" s="2">
        <v>5</v>
      </c>
    </row>
    <row r="582" spans="2:8" x14ac:dyDescent="0.25">
      <c r="B582" s="2" t="s">
        <v>604</v>
      </c>
      <c r="C582" s="2" t="s">
        <v>14</v>
      </c>
      <c r="D582" s="2">
        <v>63</v>
      </c>
      <c r="E582" s="3" t="s">
        <v>9</v>
      </c>
      <c r="F582" s="7">
        <v>45104</v>
      </c>
      <c r="G582" s="2">
        <v>70</v>
      </c>
      <c r="H582" s="2">
        <v>1.6</v>
      </c>
    </row>
    <row r="583" spans="2:8" x14ac:dyDescent="0.25">
      <c r="B583" s="2" t="s">
        <v>605</v>
      </c>
      <c r="C583" s="2" t="s">
        <v>22</v>
      </c>
      <c r="D583" s="2">
        <v>135</v>
      </c>
      <c r="E583" s="3" t="s">
        <v>13</v>
      </c>
      <c r="F583" s="7">
        <v>45104</v>
      </c>
      <c r="G583" s="2">
        <v>60</v>
      </c>
      <c r="H583" s="2">
        <v>4.3</v>
      </c>
    </row>
    <row r="584" spans="2:8" x14ac:dyDescent="0.25">
      <c r="B584" s="2" t="s">
        <v>606</v>
      </c>
      <c r="C584" s="2" t="s">
        <v>18</v>
      </c>
      <c r="D584" s="2">
        <v>101</v>
      </c>
      <c r="E584" s="3" t="s">
        <v>9</v>
      </c>
      <c r="F584" s="7">
        <v>45104</v>
      </c>
      <c r="G584" s="2">
        <v>84</v>
      </c>
      <c r="H584" s="2">
        <v>3.5</v>
      </c>
    </row>
    <row r="585" spans="2:8" x14ac:dyDescent="0.25">
      <c r="B585" s="2" t="s">
        <v>607</v>
      </c>
      <c r="C585" s="2" t="s">
        <v>24</v>
      </c>
      <c r="D585" s="2">
        <v>80</v>
      </c>
      <c r="E585" s="3" t="s">
        <v>10</v>
      </c>
      <c r="F585" s="7">
        <v>45105</v>
      </c>
      <c r="G585" s="2">
        <v>68</v>
      </c>
      <c r="H585" s="2">
        <v>3.1</v>
      </c>
    </row>
    <row r="586" spans="2:8" x14ac:dyDescent="0.25">
      <c r="B586" s="2" t="s">
        <v>608</v>
      </c>
      <c r="C586" s="2" t="s">
        <v>17</v>
      </c>
      <c r="D586" s="2">
        <v>28</v>
      </c>
      <c r="E586" s="3" t="s">
        <v>10</v>
      </c>
      <c r="F586" s="7">
        <v>45105</v>
      </c>
      <c r="G586" s="2">
        <v>44</v>
      </c>
      <c r="H586" s="2">
        <v>2.9</v>
      </c>
    </row>
    <row r="587" spans="2:8" x14ac:dyDescent="0.25">
      <c r="B587" s="2" t="s">
        <v>609</v>
      </c>
      <c r="C587" s="2" t="s">
        <v>18</v>
      </c>
      <c r="D587" s="2">
        <v>102</v>
      </c>
      <c r="E587" s="3" t="s">
        <v>13</v>
      </c>
      <c r="F587" s="7">
        <v>45106</v>
      </c>
      <c r="G587" s="2">
        <v>99</v>
      </c>
      <c r="H587" s="2">
        <v>3.2</v>
      </c>
    </row>
    <row r="588" spans="2:8" x14ac:dyDescent="0.25">
      <c r="B588" s="2" t="s">
        <v>610</v>
      </c>
      <c r="C588" s="2" t="s">
        <v>14</v>
      </c>
      <c r="D588" s="2">
        <v>60</v>
      </c>
      <c r="E588" s="3" t="s">
        <v>13</v>
      </c>
      <c r="F588" s="7">
        <v>45107</v>
      </c>
      <c r="G588" s="2">
        <v>66</v>
      </c>
      <c r="H588" s="2">
        <v>3.2</v>
      </c>
    </row>
    <row r="589" spans="2:8" x14ac:dyDescent="0.25">
      <c r="B589" s="2" t="s">
        <v>611</v>
      </c>
      <c r="C589" s="2" t="s">
        <v>21</v>
      </c>
      <c r="D589" s="2">
        <v>103</v>
      </c>
      <c r="E589" s="3" t="s">
        <v>13</v>
      </c>
      <c r="F589" s="7">
        <v>45107</v>
      </c>
      <c r="G589" s="2">
        <v>102</v>
      </c>
      <c r="H589" s="2">
        <v>4.5</v>
      </c>
    </row>
    <row r="590" spans="2:8" x14ac:dyDescent="0.25">
      <c r="B590" s="2" t="s">
        <v>612</v>
      </c>
      <c r="C590" s="2" t="s">
        <v>24</v>
      </c>
      <c r="D590" s="2">
        <v>90</v>
      </c>
      <c r="E590" s="3" t="s">
        <v>10</v>
      </c>
      <c r="F590" s="7">
        <v>45108</v>
      </c>
      <c r="G590" s="2">
        <v>129</v>
      </c>
      <c r="H590" s="2">
        <v>3.9</v>
      </c>
    </row>
    <row r="591" spans="2:8" x14ac:dyDescent="0.25">
      <c r="B591" s="2" t="s">
        <v>613</v>
      </c>
      <c r="C591" s="2" t="s">
        <v>16</v>
      </c>
      <c r="D591" s="2">
        <v>88</v>
      </c>
      <c r="E591" s="3" t="s">
        <v>13</v>
      </c>
      <c r="F591" s="7">
        <v>45108</v>
      </c>
      <c r="G591" s="2">
        <v>80</v>
      </c>
      <c r="H591" s="2">
        <v>4.2</v>
      </c>
    </row>
    <row r="592" spans="2:8" x14ac:dyDescent="0.25">
      <c r="B592" s="2" t="s">
        <v>614</v>
      </c>
      <c r="C592" s="2" t="s">
        <v>21</v>
      </c>
      <c r="D592" s="2">
        <v>37</v>
      </c>
      <c r="E592" s="3" t="s">
        <v>13</v>
      </c>
      <c r="F592" s="7">
        <v>45108</v>
      </c>
      <c r="G592" s="2">
        <v>54</v>
      </c>
      <c r="H592" s="2">
        <v>1.8</v>
      </c>
    </row>
    <row r="593" spans="2:8" x14ac:dyDescent="0.25">
      <c r="B593" s="2" t="s">
        <v>615</v>
      </c>
      <c r="C593" s="2" t="s">
        <v>17</v>
      </c>
      <c r="D593" s="2">
        <v>142</v>
      </c>
      <c r="E593" s="3" t="s">
        <v>10</v>
      </c>
      <c r="F593" s="7">
        <v>45108</v>
      </c>
      <c r="G593" s="2">
        <v>116</v>
      </c>
      <c r="H593" s="2">
        <v>4.2</v>
      </c>
    </row>
    <row r="594" spans="2:8" x14ac:dyDescent="0.25">
      <c r="B594" s="2" t="s">
        <v>616</v>
      </c>
      <c r="C594" s="2" t="s">
        <v>17</v>
      </c>
      <c r="D594" s="2">
        <v>153</v>
      </c>
      <c r="E594" s="3" t="s">
        <v>11</v>
      </c>
      <c r="F594" s="7">
        <v>45108</v>
      </c>
      <c r="G594" s="2">
        <v>102</v>
      </c>
      <c r="H594" s="2">
        <v>3.1</v>
      </c>
    </row>
    <row r="595" spans="2:8" x14ac:dyDescent="0.25">
      <c r="B595" s="2" t="s">
        <v>617</v>
      </c>
      <c r="C595" s="2" t="s">
        <v>7</v>
      </c>
      <c r="D595" s="2">
        <v>128</v>
      </c>
      <c r="E595" s="3" t="s">
        <v>9</v>
      </c>
      <c r="F595" s="7">
        <v>45108</v>
      </c>
      <c r="G595" s="2">
        <v>140</v>
      </c>
      <c r="H595" s="2">
        <v>4.3</v>
      </c>
    </row>
    <row r="596" spans="2:8" x14ac:dyDescent="0.25">
      <c r="B596" s="2" t="s">
        <v>618</v>
      </c>
      <c r="C596" s="2" t="s">
        <v>14</v>
      </c>
      <c r="D596" s="2">
        <v>110</v>
      </c>
      <c r="E596" s="3" t="s">
        <v>9</v>
      </c>
      <c r="F596" s="7">
        <v>45109</v>
      </c>
      <c r="G596" s="2">
        <v>104</v>
      </c>
      <c r="H596" s="2">
        <v>4.4000000000000004</v>
      </c>
    </row>
    <row r="597" spans="2:8" x14ac:dyDescent="0.25">
      <c r="B597" s="2" t="s">
        <v>619</v>
      </c>
      <c r="C597" s="2" t="s">
        <v>7</v>
      </c>
      <c r="D597" s="2">
        <v>139</v>
      </c>
      <c r="E597" s="3" t="s">
        <v>13</v>
      </c>
      <c r="F597" s="7">
        <v>45109</v>
      </c>
      <c r="G597" s="2">
        <v>81</v>
      </c>
      <c r="H597" s="2">
        <v>4.4000000000000004</v>
      </c>
    </row>
    <row r="598" spans="2:8" x14ac:dyDescent="0.25">
      <c r="B598" s="2" t="s">
        <v>620</v>
      </c>
      <c r="C598" s="2" t="s">
        <v>18</v>
      </c>
      <c r="D598" s="2">
        <v>109</v>
      </c>
      <c r="E598" s="3" t="s">
        <v>6</v>
      </c>
      <c r="F598" s="7">
        <v>45111</v>
      </c>
      <c r="G598" s="2">
        <v>140</v>
      </c>
      <c r="H598" s="2">
        <v>2.4</v>
      </c>
    </row>
    <row r="599" spans="2:8" x14ac:dyDescent="0.25">
      <c r="B599" s="2" t="s">
        <v>621</v>
      </c>
      <c r="C599" s="2" t="s">
        <v>12</v>
      </c>
      <c r="D599" s="2">
        <v>57</v>
      </c>
      <c r="E599" s="3" t="s">
        <v>10</v>
      </c>
      <c r="F599" s="7">
        <v>45112</v>
      </c>
      <c r="G599" s="2">
        <v>120</v>
      </c>
      <c r="H599" s="2">
        <v>3.5</v>
      </c>
    </row>
    <row r="600" spans="2:8" x14ac:dyDescent="0.25">
      <c r="B600" s="2" t="s">
        <v>622</v>
      </c>
      <c r="C600" s="2" t="s">
        <v>18</v>
      </c>
      <c r="D600" s="2">
        <v>68</v>
      </c>
      <c r="E600" s="3" t="s">
        <v>13</v>
      </c>
      <c r="F600" s="7">
        <v>45112</v>
      </c>
      <c r="G600" s="2">
        <v>41</v>
      </c>
      <c r="H600" s="2">
        <v>3.1</v>
      </c>
    </row>
    <row r="601" spans="2:8" x14ac:dyDescent="0.25">
      <c r="B601" s="2" t="s">
        <v>623</v>
      </c>
      <c r="C601" s="2" t="s">
        <v>8</v>
      </c>
      <c r="D601" s="2">
        <v>128</v>
      </c>
      <c r="E601" s="3" t="s">
        <v>13</v>
      </c>
      <c r="F601" s="7">
        <v>45112</v>
      </c>
      <c r="G601" s="2">
        <v>116</v>
      </c>
      <c r="H601" s="2">
        <v>2.2999999999999998</v>
      </c>
    </row>
    <row r="602" spans="2:8" x14ac:dyDescent="0.25">
      <c r="B602" s="2" t="s">
        <v>624</v>
      </c>
      <c r="C602" s="2" t="s">
        <v>20</v>
      </c>
      <c r="D602" s="2">
        <v>102</v>
      </c>
      <c r="E602" s="3" t="s">
        <v>10</v>
      </c>
      <c r="F602" s="7">
        <v>45113</v>
      </c>
      <c r="G602" s="2">
        <v>70</v>
      </c>
      <c r="H602" s="2">
        <v>2.8</v>
      </c>
    </row>
    <row r="603" spans="2:8" x14ac:dyDescent="0.25">
      <c r="B603" s="2" t="s">
        <v>625</v>
      </c>
      <c r="C603" s="2" t="s">
        <v>7</v>
      </c>
      <c r="D603" s="2">
        <v>52</v>
      </c>
      <c r="E603" s="3" t="s">
        <v>11</v>
      </c>
      <c r="F603" s="7">
        <v>45113</v>
      </c>
      <c r="G603" s="2">
        <v>42</v>
      </c>
      <c r="H603" s="2">
        <v>4.5</v>
      </c>
    </row>
    <row r="604" spans="2:8" x14ac:dyDescent="0.25">
      <c r="B604" s="2" t="s">
        <v>626</v>
      </c>
      <c r="C604" s="2" t="s">
        <v>8</v>
      </c>
      <c r="D604" s="2">
        <v>55</v>
      </c>
      <c r="E604" s="3" t="s">
        <v>9</v>
      </c>
      <c r="F604" s="7">
        <v>45114</v>
      </c>
      <c r="G604" s="2">
        <v>112</v>
      </c>
      <c r="H604" s="2">
        <v>4.5</v>
      </c>
    </row>
    <row r="605" spans="2:8" x14ac:dyDescent="0.25">
      <c r="B605" s="2" t="s">
        <v>627</v>
      </c>
      <c r="C605" s="2" t="s">
        <v>21</v>
      </c>
      <c r="D605" s="2">
        <v>107</v>
      </c>
      <c r="E605" s="3" t="s">
        <v>13</v>
      </c>
      <c r="F605" s="7">
        <v>45114</v>
      </c>
      <c r="G605" s="2">
        <v>20</v>
      </c>
      <c r="H605" s="2">
        <v>4.5</v>
      </c>
    </row>
    <row r="606" spans="2:8" x14ac:dyDescent="0.25">
      <c r="B606" s="2" t="s">
        <v>628</v>
      </c>
      <c r="C606" s="2" t="s">
        <v>24</v>
      </c>
      <c r="D606" s="2">
        <v>88</v>
      </c>
      <c r="E606" s="3" t="s">
        <v>11</v>
      </c>
      <c r="F606" s="7">
        <v>45115</v>
      </c>
      <c r="G606" s="2">
        <v>110</v>
      </c>
      <c r="H606" s="2">
        <v>4.8</v>
      </c>
    </row>
    <row r="607" spans="2:8" x14ac:dyDescent="0.25">
      <c r="B607" s="2" t="s">
        <v>629</v>
      </c>
      <c r="C607" s="2" t="s">
        <v>15</v>
      </c>
      <c r="D607" s="2">
        <v>49</v>
      </c>
      <c r="E607" s="3" t="s">
        <v>11</v>
      </c>
      <c r="F607" s="7">
        <v>45115</v>
      </c>
      <c r="G607" s="2">
        <v>39</v>
      </c>
      <c r="H607" s="2">
        <v>4.5999999999999996</v>
      </c>
    </row>
    <row r="608" spans="2:8" x14ac:dyDescent="0.25">
      <c r="B608" s="2" t="s">
        <v>630</v>
      </c>
      <c r="C608" s="2" t="s">
        <v>24</v>
      </c>
      <c r="D608" s="2">
        <v>72</v>
      </c>
      <c r="E608" s="3" t="s">
        <v>10</v>
      </c>
      <c r="F608" s="7">
        <v>45115</v>
      </c>
      <c r="G608" s="2">
        <v>76</v>
      </c>
      <c r="H608" s="2">
        <v>4.5</v>
      </c>
    </row>
    <row r="609" spans="2:8" x14ac:dyDescent="0.25">
      <c r="B609" s="2" t="s">
        <v>631</v>
      </c>
      <c r="C609" s="2" t="s">
        <v>12</v>
      </c>
      <c r="D609" s="2">
        <v>50</v>
      </c>
      <c r="E609" s="3" t="s">
        <v>10</v>
      </c>
      <c r="F609" s="7">
        <v>45115</v>
      </c>
      <c r="G609" s="2">
        <v>40</v>
      </c>
      <c r="H609" s="2">
        <v>5</v>
      </c>
    </row>
    <row r="610" spans="2:8" x14ac:dyDescent="0.25">
      <c r="B610" s="2" t="s">
        <v>632</v>
      </c>
      <c r="C610" s="2" t="s">
        <v>24</v>
      </c>
      <c r="D610" s="2">
        <v>52</v>
      </c>
      <c r="E610" s="3" t="s">
        <v>13</v>
      </c>
      <c r="F610" s="7">
        <v>45115</v>
      </c>
      <c r="G610" s="2">
        <v>42</v>
      </c>
      <c r="H610" s="2">
        <v>4.8</v>
      </c>
    </row>
    <row r="611" spans="2:8" x14ac:dyDescent="0.25">
      <c r="B611" s="2" t="s">
        <v>633</v>
      </c>
      <c r="C611" s="2" t="s">
        <v>23</v>
      </c>
      <c r="D611" s="2">
        <v>85</v>
      </c>
      <c r="E611" s="3" t="s">
        <v>6</v>
      </c>
      <c r="F611" s="7">
        <v>45116</v>
      </c>
      <c r="G611" s="2">
        <v>215</v>
      </c>
      <c r="H611" s="2">
        <v>3.5</v>
      </c>
    </row>
    <row r="612" spans="2:8" x14ac:dyDescent="0.25">
      <c r="B612" s="2" t="s">
        <v>634</v>
      </c>
      <c r="C612" s="2" t="s">
        <v>22</v>
      </c>
      <c r="D612" s="2">
        <v>98</v>
      </c>
      <c r="E612" s="3" t="s">
        <v>6</v>
      </c>
      <c r="F612" s="7">
        <v>45117</v>
      </c>
      <c r="G612" s="2">
        <v>130</v>
      </c>
      <c r="H612" s="2">
        <v>3.4</v>
      </c>
    </row>
    <row r="613" spans="2:8" x14ac:dyDescent="0.25">
      <c r="B613" s="2" t="s">
        <v>635</v>
      </c>
      <c r="C613" s="2" t="s">
        <v>19</v>
      </c>
      <c r="D613" s="2">
        <v>52</v>
      </c>
      <c r="E613" s="3" t="s">
        <v>6</v>
      </c>
      <c r="F613" s="7">
        <v>45117</v>
      </c>
      <c r="G613" s="2">
        <v>190</v>
      </c>
      <c r="H613" s="2">
        <v>3.3</v>
      </c>
    </row>
    <row r="614" spans="2:8" x14ac:dyDescent="0.25">
      <c r="B614" s="2" t="s">
        <v>636</v>
      </c>
      <c r="C614" s="2" t="s">
        <v>8</v>
      </c>
      <c r="D614" s="2">
        <v>154</v>
      </c>
      <c r="E614" s="3" t="s">
        <v>11</v>
      </c>
      <c r="F614" s="7">
        <v>45117</v>
      </c>
      <c r="G614" s="2">
        <v>164</v>
      </c>
      <c r="H614" s="2">
        <v>4.9000000000000004</v>
      </c>
    </row>
    <row r="615" spans="2:8" x14ac:dyDescent="0.25">
      <c r="B615" s="2" t="s">
        <v>637</v>
      </c>
      <c r="C615" s="2" t="s">
        <v>5</v>
      </c>
      <c r="D615" s="2">
        <v>131</v>
      </c>
      <c r="E615" s="3" t="s">
        <v>9</v>
      </c>
      <c r="F615" s="7">
        <v>45118</v>
      </c>
      <c r="G615" s="2">
        <v>76</v>
      </c>
      <c r="H615" s="2">
        <v>4.5</v>
      </c>
    </row>
    <row r="616" spans="2:8" x14ac:dyDescent="0.25">
      <c r="B616" s="2" t="s">
        <v>638</v>
      </c>
      <c r="C616" s="2" t="s">
        <v>23</v>
      </c>
      <c r="D616" s="2">
        <v>73</v>
      </c>
      <c r="E616" s="3" t="s">
        <v>9</v>
      </c>
      <c r="F616" s="7">
        <v>45119</v>
      </c>
      <c r="G616" s="2">
        <v>87</v>
      </c>
      <c r="H616" s="2">
        <v>4.8</v>
      </c>
    </row>
    <row r="617" spans="2:8" x14ac:dyDescent="0.25">
      <c r="B617" s="2" t="s">
        <v>639</v>
      </c>
      <c r="C617" s="2" t="s">
        <v>14</v>
      </c>
      <c r="D617" s="2">
        <v>45</v>
      </c>
      <c r="E617" s="3" t="s">
        <v>6</v>
      </c>
      <c r="F617" s="7">
        <v>45119</v>
      </c>
      <c r="G617" s="2">
        <v>84</v>
      </c>
      <c r="H617" s="2">
        <v>4.8</v>
      </c>
    </row>
    <row r="618" spans="2:8" x14ac:dyDescent="0.25">
      <c r="B618" s="2" t="s">
        <v>640</v>
      </c>
      <c r="C618" s="2" t="s">
        <v>7</v>
      </c>
      <c r="D618" s="2">
        <v>114</v>
      </c>
      <c r="E618" s="3" t="s">
        <v>13</v>
      </c>
      <c r="F618" s="7">
        <v>45119</v>
      </c>
      <c r="G618" s="2">
        <v>114</v>
      </c>
      <c r="H618" s="2">
        <v>3.9</v>
      </c>
    </row>
    <row r="619" spans="2:8" x14ac:dyDescent="0.25">
      <c r="B619" s="2" t="s">
        <v>641</v>
      </c>
      <c r="C619" s="2" t="s">
        <v>22</v>
      </c>
      <c r="D619" s="2">
        <v>69</v>
      </c>
      <c r="E619" s="3" t="s">
        <v>9</v>
      </c>
      <c r="F619" s="7">
        <v>45120</v>
      </c>
      <c r="G619" s="2">
        <v>56</v>
      </c>
      <c r="H619" s="2">
        <v>3.9</v>
      </c>
    </row>
    <row r="620" spans="2:8" x14ac:dyDescent="0.25">
      <c r="B620" s="2" t="s">
        <v>642</v>
      </c>
      <c r="C620" s="2" t="s">
        <v>5</v>
      </c>
      <c r="D620" s="2">
        <v>33</v>
      </c>
      <c r="E620" s="3" t="s">
        <v>11</v>
      </c>
      <c r="F620" s="7">
        <v>45120</v>
      </c>
      <c r="G620" s="2">
        <v>27</v>
      </c>
      <c r="H620" s="2">
        <v>3.7</v>
      </c>
    </row>
    <row r="621" spans="2:8" x14ac:dyDescent="0.25">
      <c r="B621" s="2" t="s">
        <v>643</v>
      </c>
      <c r="C621" s="2" t="s">
        <v>12</v>
      </c>
      <c r="D621" s="2">
        <v>31</v>
      </c>
      <c r="E621" s="3" t="s">
        <v>10</v>
      </c>
      <c r="F621" s="7">
        <v>45121</v>
      </c>
      <c r="G621" s="2">
        <v>84</v>
      </c>
      <c r="H621" s="2">
        <v>4.8</v>
      </c>
    </row>
    <row r="622" spans="2:8" x14ac:dyDescent="0.25">
      <c r="B622" s="2" t="s">
        <v>644</v>
      </c>
      <c r="C622" s="2" t="s">
        <v>14</v>
      </c>
      <c r="D622" s="2">
        <v>168</v>
      </c>
      <c r="E622" s="3" t="s">
        <v>11</v>
      </c>
      <c r="F622" s="7">
        <v>45121</v>
      </c>
      <c r="G622" s="2">
        <v>72</v>
      </c>
      <c r="H622" s="2">
        <v>3.5</v>
      </c>
    </row>
    <row r="623" spans="2:8" x14ac:dyDescent="0.25">
      <c r="B623" s="2" t="s">
        <v>645</v>
      </c>
      <c r="C623" s="2" t="s">
        <v>23</v>
      </c>
      <c r="D623" s="2">
        <v>111</v>
      </c>
      <c r="E623" s="3" t="s">
        <v>13</v>
      </c>
      <c r="F623" s="7">
        <v>45122</v>
      </c>
      <c r="G623" s="2">
        <v>126</v>
      </c>
      <c r="H623" s="2">
        <v>4.2</v>
      </c>
    </row>
    <row r="624" spans="2:8" x14ac:dyDescent="0.25">
      <c r="B624" s="2" t="s">
        <v>646</v>
      </c>
      <c r="C624" s="2" t="s">
        <v>12</v>
      </c>
      <c r="D624" s="2">
        <v>80</v>
      </c>
      <c r="E624" s="3" t="s">
        <v>11</v>
      </c>
      <c r="F624" s="7">
        <v>45123</v>
      </c>
      <c r="G624" s="2">
        <v>88</v>
      </c>
      <c r="H624" s="2">
        <v>4.9000000000000004</v>
      </c>
    </row>
    <row r="625" spans="2:8" x14ac:dyDescent="0.25">
      <c r="B625" s="2" t="s">
        <v>647</v>
      </c>
      <c r="C625" s="2" t="s">
        <v>20</v>
      </c>
      <c r="D625" s="2">
        <v>37</v>
      </c>
      <c r="E625" s="3" t="s">
        <v>11</v>
      </c>
      <c r="F625" s="7">
        <v>45123</v>
      </c>
      <c r="G625" s="2">
        <v>124</v>
      </c>
      <c r="H625" s="2">
        <v>4.5999999999999996</v>
      </c>
    </row>
    <row r="626" spans="2:8" x14ac:dyDescent="0.25">
      <c r="B626" s="2" t="s">
        <v>648</v>
      </c>
      <c r="C626" s="2" t="s">
        <v>17</v>
      </c>
      <c r="D626" s="2">
        <v>137</v>
      </c>
      <c r="E626" s="3" t="s">
        <v>11</v>
      </c>
      <c r="F626" s="7">
        <v>45124</v>
      </c>
      <c r="G626" s="2">
        <v>84</v>
      </c>
      <c r="H626" s="2">
        <v>2.6</v>
      </c>
    </row>
    <row r="627" spans="2:8" x14ac:dyDescent="0.25">
      <c r="B627" s="2" t="s">
        <v>649</v>
      </c>
      <c r="C627" s="2" t="s">
        <v>22</v>
      </c>
      <c r="D627" s="2">
        <v>123</v>
      </c>
      <c r="E627" s="3" t="s">
        <v>13</v>
      </c>
      <c r="F627" s="7">
        <v>45124</v>
      </c>
      <c r="G627" s="2">
        <v>80</v>
      </c>
      <c r="H627" s="2">
        <v>2.7</v>
      </c>
    </row>
    <row r="628" spans="2:8" x14ac:dyDescent="0.25">
      <c r="B628" s="2" t="s">
        <v>650</v>
      </c>
      <c r="C628" s="2" t="s">
        <v>16</v>
      </c>
      <c r="D628" s="2">
        <v>105</v>
      </c>
      <c r="E628" s="3" t="s">
        <v>13</v>
      </c>
      <c r="F628" s="7">
        <v>45125</v>
      </c>
      <c r="G628" s="2">
        <v>176</v>
      </c>
      <c r="H628" s="2">
        <v>4.7</v>
      </c>
    </row>
    <row r="629" spans="2:8" x14ac:dyDescent="0.25">
      <c r="B629" s="2" t="s">
        <v>651</v>
      </c>
      <c r="C629" s="2" t="s">
        <v>20</v>
      </c>
      <c r="D629" s="2">
        <v>76</v>
      </c>
      <c r="E629" s="3" t="s">
        <v>6</v>
      </c>
      <c r="F629" s="7">
        <v>45126</v>
      </c>
      <c r="G629" s="2">
        <v>84</v>
      </c>
      <c r="H629" s="2">
        <v>3.9</v>
      </c>
    </row>
    <row r="630" spans="2:8" x14ac:dyDescent="0.25">
      <c r="B630" s="2" t="s">
        <v>652</v>
      </c>
      <c r="C630" s="2" t="s">
        <v>12</v>
      </c>
      <c r="D630" s="2">
        <v>144</v>
      </c>
      <c r="E630" s="3" t="s">
        <v>6</v>
      </c>
      <c r="F630" s="7">
        <v>45126</v>
      </c>
      <c r="G630" s="2">
        <v>164</v>
      </c>
      <c r="H630" s="2">
        <v>2.8</v>
      </c>
    </row>
    <row r="631" spans="2:8" x14ac:dyDescent="0.25">
      <c r="B631" s="2" t="s">
        <v>653</v>
      </c>
      <c r="C631" s="2" t="s">
        <v>5</v>
      </c>
      <c r="D631" s="2">
        <v>109</v>
      </c>
      <c r="E631" s="3" t="s">
        <v>10</v>
      </c>
      <c r="F631" s="7">
        <v>45126</v>
      </c>
      <c r="G631" s="2">
        <v>132</v>
      </c>
      <c r="H631" s="2">
        <v>3.1</v>
      </c>
    </row>
    <row r="632" spans="2:8" x14ac:dyDescent="0.25">
      <c r="B632" s="2" t="s">
        <v>654</v>
      </c>
      <c r="C632" s="2" t="s">
        <v>22</v>
      </c>
      <c r="D632" s="2">
        <v>172</v>
      </c>
      <c r="E632" s="3" t="s">
        <v>11</v>
      </c>
      <c r="F632" s="7">
        <v>45127</v>
      </c>
      <c r="G632" s="2">
        <v>27</v>
      </c>
      <c r="H632" s="2">
        <v>4.2</v>
      </c>
    </row>
    <row r="633" spans="2:8" x14ac:dyDescent="0.25">
      <c r="B633" s="2" t="s">
        <v>655</v>
      </c>
      <c r="C633" s="2" t="s">
        <v>12</v>
      </c>
      <c r="D633" s="2">
        <v>56</v>
      </c>
      <c r="E633" s="3" t="s">
        <v>13</v>
      </c>
      <c r="F633" s="7">
        <v>45127</v>
      </c>
      <c r="G633" s="2">
        <v>27</v>
      </c>
      <c r="H633" s="2">
        <v>4.3</v>
      </c>
    </row>
    <row r="634" spans="2:8" x14ac:dyDescent="0.25">
      <c r="B634" s="2" t="s">
        <v>656</v>
      </c>
      <c r="C634" s="2" t="s">
        <v>12</v>
      </c>
      <c r="D634" s="2">
        <v>121</v>
      </c>
      <c r="E634" s="3" t="s">
        <v>9</v>
      </c>
      <c r="F634" s="7">
        <v>45127</v>
      </c>
      <c r="G634" s="2">
        <v>20</v>
      </c>
      <c r="H634" s="2">
        <v>2.7</v>
      </c>
    </row>
    <row r="635" spans="2:8" x14ac:dyDescent="0.25">
      <c r="B635" s="2" t="s">
        <v>657</v>
      </c>
      <c r="C635" s="2" t="s">
        <v>22</v>
      </c>
      <c r="D635" s="2">
        <v>41</v>
      </c>
      <c r="E635" s="3" t="s">
        <v>13</v>
      </c>
      <c r="F635" s="7">
        <v>45128</v>
      </c>
      <c r="G635" s="2">
        <v>112</v>
      </c>
      <c r="H635" s="2">
        <v>2.2999999999999998</v>
      </c>
    </row>
    <row r="636" spans="2:8" x14ac:dyDescent="0.25">
      <c r="B636" s="2" t="s">
        <v>658</v>
      </c>
      <c r="C636" s="2" t="s">
        <v>21</v>
      </c>
      <c r="D636" s="2">
        <v>60</v>
      </c>
      <c r="E636" s="3" t="s">
        <v>11</v>
      </c>
      <c r="F636" s="7">
        <v>45128</v>
      </c>
      <c r="G636" s="2">
        <v>60</v>
      </c>
      <c r="H636" s="2">
        <v>2.2999999999999998</v>
      </c>
    </row>
    <row r="637" spans="2:8" x14ac:dyDescent="0.25">
      <c r="B637" s="2" t="s">
        <v>659</v>
      </c>
      <c r="C637" s="2" t="s">
        <v>21</v>
      </c>
      <c r="D637" s="2">
        <v>144</v>
      </c>
      <c r="E637" s="3" t="s">
        <v>11</v>
      </c>
      <c r="F637" s="7">
        <v>45129</v>
      </c>
      <c r="G637" s="2">
        <v>102</v>
      </c>
      <c r="H637" s="2">
        <v>2.9</v>
      </c>
    </row>
    <row r="638" spans="2:8" x14ac:dyDescent="0.25">
      <c r="B638" s="2" t="s">
        <v>660</v>
      </c>
      <c r="C638" s="2" t="s">
        <v>8</v>
      </c>
      <c r="D638" s="2">
        <v>67</v>
      </c>
      <c r="E638" s="3" t="s">
        <v>11</v>
      </c>
      <c r="F638" s="7">
        <v>45129</v>
      </c>
      <c r="G638" s="2">
        <v>38</v>
      </c>
      <c r="H638" s="2">
        <v>4.2</v>
      </c>
    </row>
    <row r="639" spans="2:8" x14ac:dyDescent="0.25">
      <c r="B639" s="2" t="s">
        <v>661</v>
      </c>
      <c r="C639" s="2" t="s">
        <v>22</v>
      </c>
      <c r="D639" s="2">
        <v>162</v>
      </c>
      <c r="E639" s="3" t="s">
        <v>10</v>
      </c>
      <c r="F639" s="7">
        <v>45129</v>
      </c>
      <c r="G639" s="2">
        <v>82</v>
      </c>
      <c r="H639" s="2">
        <v>4.5999999999999996</v>
      </c>
    </row>
    <row r="640" spans="2:8" x14ac:dyDescent="0.25">
      <c r="B640" s="2" t="s">
        <v>662</v>
      </c>
      <c r="C640" s="2" t="s">
        <v>21</v>
      </c>
      <c r="D640" s="2">
        <v>87</v>
      </c>
      <c r="E640" s="3" t="s">
        <v>9</v>
      </c>
      <c r="F640" s="7">
        <v>45132</v>
      </c>
      <c r="G640" s="2">
        <v>125</v>
      </c>
      <c r="H640" s="2">
        <v>4.5</v>
      </c>
    </row>
    <row r="641" spans="2:8" x14ac:dyDescent="0.25">
      <c r="B641" s="2" t="s">
        <v>663</v>
      </c>
      <c r="C641" s="2" t="s">
        <v>19</v>
      </c>
      <c r="D641" s="2">
        <v>10</v>
      </c>
      <c r="E641" s="3" t="s">
        <v>6</v>
      </c>
      <c r="F641" s="7">
        <v>45133</v>
      </c>
      <c r="G641" s="2">
        <v>72</v>
      </c>
      <c r="H641" s="2">
        <v>3.7</v>
      </c>
    </row>
    <row r="642" spans="2:8" x14ac:dyDescent="0.25">
      <c r="B642" s="2" t="s">
        <v>664</v>
      </c>
      <c r="C642" s="2" t="s">
        <v>12</v>
      </c>
      <c r="D642" s="2">
        <v>138</v>
      </c>
      <c r="E642" s="3" t="s">
        <v>6</v>
      </c>
      <c r="F642" s="7">
        <v>45133</v>
      </c>
      <c r="G642" s="2">
        <v>195</v>
      </c>
      <c r="H642" s="2">
        <v>4.0999999999999996</v>
      </c>
    </row>
    <row r="643" spans="2:8" x14ac:dyDescent="0.25">
      <c r="B643" s="2" t="s">
        <v>665</v>
      </c>
      <c r="C643" s="2" t="s">
        <v>22</v>
      </c>
      <c r="D643" s="2">
        <v>31</v>
      </c>
      <c r="E643" s="3" t="s">
        <v>6</v>
      </c>
      <c r="F643" s="7">
        <v>45134</v>
      </c>
      <c r="G643" s="2">
        <v>160</v>
      </c>
      <c r="H643" s="2">
        <v>3.4</v>
      </c>
    </row>
    <row r="644" spans="2:8" x14ac:dyDescent="0.25">
      <c r="B644" s="2" t="s">
        <v>666</v>
      </c>
      <c r="C644" s="2" t="s">
        <v>16</v>
      </c>
      <c r="D644" s="2">
        <v>75</v>
      </c>
      <c r="E644" s="3" t="s">
        <v>10</v>
      </c>
      <c r="F644" s="7">
        <v>45134</v>
      </c>
      <c r="G644" s="2">
        <v>78</v>
      </c>
      <c r="H644" s="2">
        <v>3.3</v>
      </c>
    </row>
    <row r="645" spans="2:8" x14ac:dyDescent="0.25">
      <c r="B645" s="2" t="s">
        <v>667</v>
      </c>
      <c r="C645" s="2" t="s">
        <v>20</v>
      </c>
      <c r="D645" s="2">
        <v>65</v>
      </c>
      <c r="E645" s="3" t="s">
        <v>10</v>
      </c>
      <c r="F645" s="7">
        <v>45135</v>
      </c>
      <c r="G645" s="2">
        <v>70</v>
      </c>
      <c r="H645" s="2">
        <v>4.4000000000000004</v>
      </c>
    </row>
    <row r="646" spans="2:8" x14ac:dyDescent="0.25">
      <c r="B646" s="2" t="s">
        <v>668</v>
      </c>
      <c r="C646" s="2" t="s">
        <v>23</v>
      </c>
      <c r="D646" s="2">
        <v>106</v>
      </c>
      <c r="E646" s="3" t="s">
        <v>13</v>
      </c>
      <c r="F646" s="7">
        <v>45135</v>
      </c>
      <c r="G646" s="2">
        <v>105</v>
      </c>
      <c r="H646" s="2">
        <v>4.2</v>
      </c>
    </row>
    <row r="647" spans="2:8" x14ac:dyDescent="0.25">
      <c r="B647" s="2" t="s">
        <v>669</v>
      </c>
      <c r="C647" s="2" t="s">
        <v>20</v>
      </c>
      <c r="D647" s="2">
        <v>107</v>
      </c>
      <c r="E647" s="3" t="s">
        <v>13</v>
      </c>
      <c r="F647" s="7">
        <v>45136</v>
      </c>
      <c r="G647" s="2">
        <v>78</v>
      </c>
      <c r="H647" s="2">
        <v>3.4</v>
      </c>
    </row>
    <row r="648" spans="2:8" x14ac:dyDescent="0.25">
      <c r="B648" s="2" t="s">
        <v>670</v>
      </c>
      <c r="C648" s="2" t="s">
        <v>17</v>
      </c>
      <c r="D648" s="2">
        <v>78</v>
      </c>
      <c r="E648" s="3" t="s">
        <v>13</v>
      </c>
      <c r="F648" s="7">
        <v>45138</v>
      </c>
      <c r="G648" s="2">
        <v>205</v>
      </c>
      <c r="H648" s="2">
        <v>4.4000000000000004</v>
      </c>
    </row>
    <row r="649" spans="2:8" x14ac:dyDescent="0.25">
      <c r="B649" s="2" t="s">
        <v>671</v>
      </c>
      <c r="C649" s="2" t="s">
        <v>24</v>
      </c>
      <c r="D649" s="2">
        <v>122</v>
      </c>
      <c r="E649" s="3" t="s">
        <v>13</v>
      </c>
      <c r="F649" s="7">
        <v>45138</v>
      </c>
      <c r="G649" s="2">
        <v>78</v>
      </c>
      <c r="H649" s="2">
        <v>2.7</v>
      </c>
    </row>
    <row r="650" spans="2:8" x14ac:dyDescent="0.25">
      <c r="B650" s="2" t="s">
        <v>672</v>
      </c>
      <c r="C650" s="2" t="s">
        <v>12</v>
      </c>
      <c r="D650" s="2">
        <v>58</v>
      </c>
      <c r="E650" s="3" t="s">
        <v>6</v>
      </c>
      <c r="F650" s="7">
        <v>45138</v>
      </c>
      <c r="G650" s="2">
        <v>38</v>
      </c>
      <c r="H650" s="2">
        <v>4.5</v>
      </c>
    </row>
    <row r="651" spans="2:8" x14ac:dyDescent="0.25">
      <c r="B651" s="2" t="s">
        <v>673</v>
      </c>
      <c r="C651" s="2" t="s">
        <v>17</v>
      </c>
      <c r="D651" s="2">
        <v>33</v>
      </c>
      <c r="E651" s="3" t="s">
        <v>11</v>
      </c>
      <c r="F651" s="7">
        <v>45138</v>
      </c>
      <c r="G651" s="2">
        <v>92</v>
      </c>
      <c r="H651" s="2">
        <v>1.7</v>
      </c>
    </row>
    <row r="652" spans="2:8" x14ac:dyDescent="0.25">
      <c r="B652" s="2" t="s">
        <v>674</v>
      </c>
      <c r="C652" s="2" t="s">
        <v>5</v>
      </c>
      <c r="D652" s="2">
        <v>164</v>
      </c>
      <c r="E652" s="3" t="s">
        <v>10</v>
      </c>
      <c r="F652" s="7">
        <v>45138</v>
      </c>
      <c r="G652" s="2">
        <v>36</v>
      </c>
      <c r="H652" s="2">
        <v>4.7</v>
      </c>
    </row>
    <row r="653" spans="2:8" x14ac:dyDescent="0.25">
      <c r="B653" s="2" t="s">
        <v>675</v>
      </c>
      <c r="C653" s="2" t="s">
        <v>16</v>
      </c>
      <c r="D653" s="2">
        <v>163</v>
      </c>
      <c r="E653" s="3" t="s">
        <v>9</v>
      </c>
      <c r="F653" s="7">
        <v>45138</v>
      </c>
      <c r="G653" s="2">
        <v>76</v>
      </c>
      <c r="H653" s="2">
        <v>4.4000000000000004</v>
      </c>
    </row>
    <row r="654" spans="2:8" x14ac:dyDescent="0.25">
      <c r="B654" s="2" t="s">
        <v>676</v>
      </c>
      <c r="C654" s="2" t="s">
        <v>15</v>
      </c>
      <c r="D654" s="2">
        <v>71</v>
      </c>
      <c r="E654" s="3" t="s">
        <v>10</v>
      </c>
      <c r="F654" s="7">
        <v>45140</v>
      </c>
      <c r="G654" s="2">
        <v>170</v>
      </c>
      <c r="H654" s="2">
        <v>3.5</v>
      </c>
    </row>
    <row r="655" spans="2:8" x14ac:dyDescent="0.25">
      <c r="B655" s="2" t="s">
        <v>677</v>
      </c>
      <c r="C655" s="2" t="s">
        <v>17</v>
      </c>
      <c r="D655" s="2">
        <v>103</v>
      </c>
      <c r="E655" s="3" t="s">
        <v>6</v>
      </c>
      <c r="F655" s="7">
        <v>45141</v>
      </c>
      <c r="G655" s="2">
        <v>117</v>
      </c>
      <c r="H655" s="2">
        <v>4.7</v>
      </c>
    </row>
    <row r="656" spans="2:8" x14ac:dyDescent="0.25">
      <c r="B656" s="2" t="s">
        <v>678</v>
      </c>
      <c r="C656" s="2" t="s">
        <v>7</v>
      </c>
      <c r="D656" s="2">
        <v>69</v>
      </c>
      <c r="E656" s="3" t="s">
        <v>9</v>
      </c>
      <c r="F656" s="7">
        <v>45141</v>
      </c>
      <c r="G656" s="2">
        <v>20</v>
      </c>
      <c r="H656" s="2">
        <v>4.3</v>
      </c>
    </row>
    <row r="657" spans="2:8" x14ac:dyDescent="0.25">
      <c r="B657" s="2" t="s">
        <v>679</v>
      </c>
      <c r="C657" s="2" t="s">
        <v>16</v>
      </c>
      <c r="D657" s="2">
        <v>111</v>
      </c>
      <c r="E657" s="3" t="s">
        <v>6</v>
      </c>
      <c r="F657" s="7">
        <v>45141</v>
      </c>
      <c r="G657" s="2">
        <v>99</v>
      </c>
      <c r="H657" s="2">
        <v>4.0999999999999996</v>
      </c>
    </row>
    <row r="658" spans="2:8" x14ac:dyDescent="0.25">
      <c r="B658" s="2" t="s">
        <v>680</v>
      </c>
      <c r="C658" s="2" t="s">
        <v>18</v>
      </c>
      <c r="D658" s="2">
        <v>97</v>
      </c>
      <c r="E658" s="3" t="s">
        <v>9</v>
      </c>
      <c r="F658" s="7">
        <v>45142</v>
      </c>
      <c r="G658" s="2">
        <v>105</v>
      </c>
      <c r="H658" s="2">
        <v>2.9</v>
      </c>
    </row>
    <row r="659" spans="2:8" x14ac:dyDescent="0.25">
      <c r="B659" s="2" t="s">
        <v>681</v>
      </c>
      <c r="C659" s="2" t="s">
        <v>14</v>
      </c>
      <c r="D659" s="2">
        <v>144</v>
      </c>
      <c r="E659" s="3" t="s">
        <v>13</v>
      </c>
      <c r="F659" s="7">
        <v>45142</v>
      </c>
      <c r="G659" s="2">
        <v>195</v>
      </c>
      <c r="H659" s="2">
        <v>3.4</v>
      </c>
    </row>
    <row r="660" spans="2:8" x14ac:dyDescent="0.25">
      <c r="B660" s="2" t="s">
        <v>682</v>
      </c>
      <c r="C660" s="2" t="s">
        <v>23</v>
      </c>
      <c r="D660" s="2">
        <v>56</v>
      </c>
      <c r="E660" s="3" t="s">
        <v>9</v>
      </c>
      <c r="F660" s="7">
        <v>45143</v>
      </c>
      <c r="G660" s="2">
        <v>152</v>
      </c>
      <c r="H660" s="2">
        <v>4.5999999999999996</v>
      </c>
    </row>
    <row r="661" spans="2:8" x14ac:dyDescent="0.25">
      <c r="B661" s="2" t="s">
        <v>683</v>
      </c>
      <c r="C661" s="2" t="s">
        <v>14</v>
      </c>
      <c r="D661" s="2">
        <v>132</v>
      </c>
      <c r="E661" s="3" t="s">
        <v>13</v>
      </c>
      <c r="F661" s="7">
        <v>45144</v>
      </c>
      <c r="G661" s="2">
        <v>195</v>
      </c>
      <c r="H661" s="2">
        <v>4.9000000000000004</v>
      </c>
    </row>
    <row r="662" spans="2:8" x14ac:dyDescent="0.25">
      <c r="B662" s="2" t="s">
        <v>684</v>
      </c>
      <c r="C662" s="2" t="s">
        <v>15</v>
      </c>
      <c r="D662" s="2">
        <v>72</v>
      </c>
      <c r="E662" s="3" t="s">
        <v>11</v>
      </c>
      <c r="F662" s="7">
        <v>45144</v>
      </c>
      <c r="G662" s="2">
        <v>70</v>
      </c>
      <c r="H662" s="2">
        <v>3.6</v>
      </c>
    </row>
    <row r="663" spans="2:8" x14ac:dyDescent="0.25">
      <c r="B663" s="2" t="s">
        <v>685</v>
      </c>
      <c r="C663" s="2" t="s">
        <v>16</v>
      </c>
      <c r="D663" s="2">
        <v>18</v>
      </c>
      <c r="E663" s="3" t="s">
        <v>11</v>
      </c>
      <c r="F663" s="7">
        <v>45144</v>
      </c>
      <c r="G663" s="2">
        <v>22</v>
      </c>
      <c r="H663" s="2">
        <v>3.5</v>
      </c>
    </row>
    <row r="664" spans="2:8" x14ac:dyDescent="0.25">
      <c r="B664" s="2" t="s">
        <v>686</v>
      </c>
      <c r="C664" s="2" t="s">
        <v>8</v>
      </c>
      <c r="D664" s="2">
        <v>115</v>
      </c>
      <c r="E664" s="3" t="s">
        <v>6</v>
      </c>
      <c r="F664" s="7">
        <v>45145</v>
      </c>
      <c r="G664" s="2">
        <v>40</v>
      </c>
      <c r="H664" s="2">
        <v>3.3</v>
      </c>
    </row>
    <row r="665" spans="2:8" x14ac:dyDescent="0.25">
      <c r="B665" s="2" t="s">
        <v>687</v>
      </c>
      <c r="C665" s="2" t="s">
        <v>8</v>
      </c>
      <c r="D665" s="2">
        <v>124</v>
      </c>
      <c r="E665" s="3" t="s">
        <v>9</v>
      </c>
      <c r="F665" s="7">
        <v>45146</v>
      </c>
      <c r="G665" s="2">
        <v>54</v>
      </c>
      <c r="H665" s="2">
        <v>3.8</v>
      </c>
    </row>
    <row r="666" spans="2:8" x14ac:dyDescent="0.25">
      <c r="B666" s="2" t="s">
        <v>688</v>
      </c>
      <c r="C666" s="2" t="s">
        <v>12</v>
      </c>
      <c r="D666" s="2">
        <v>130</v>
      </c>
      <c r="E666" s="3" t="s">
        <v>9</v>
      </c>
      <c r="F666" s="7">
        <v>45146</v>
      </c>
      <c r="G666" s="2">
        <v>60</v>
      </c>
      <c r="H666" s="2">
        <v>2.5</v>
      </c>
    </row>
    <row r="667" spans="2:8" x14ac:dyDescent="0.25">
      <c r="B667" s="2" t="s">
        <v>689</v>
      </c>
      <c r="C667" s="2" t="s">
        <v>19</v>
      </c>
      <c r="D667" s="2">
        <v>120</v>
      </c>
      <c r="E667" s="3" t="s">
        <v>10</v>
      </c>
      <c r="F667" s="7">
        <v>45148</v>
      </c>
      <c r="G667" s="2">
        <v>58</v>
      </c>
      <c r="H667" s="2">
        <v>4.5999999999999996</v>
      </c>
    </row>
    <row r="668" spans="2:8" x14ac:dyDescent="0.25">
      <c r="B668" s="2" t="s">
        <v>690</v>
      </c>
      <c r="C668" s="2" t="s">
        <v>18</v>
      </c>
      <c r="D668" s="2">
        <v>75</v>
      </c>
      <c r="E668" s="3" t="s">
        <v>6</v>
      </c>
      <c r="F668" s="7">
        <v>45148</v>
      </c>
      <c r="G668" s="2">
        <v>220</v>
      </c>
      <c r="H668" s="2">
        <v>4.7</v>
      </c>
    </row>
    <row r="669" spans="2:8" x14ac:dyDescent="0.25">
      <c r="B669" s="2" t="s">
        <v>691</v>
      </c>
      <c r="C669" s="2" t="s">
        <v>20</v>
      </c>
      <c r="D669" s="2">
        <v>63</v>
      </c>
      <c r="E669" s="3" t="s">
        <v>6</v>
      </c>
      <c r="F669" s="7">
        <v>45148</v>
      </c>
      <c r="G669" s="2">
        <v>27</v>
      </c>
      <c r="H669" s="2">
        <v>3.6</v>
      </c>
    </row>
    <row r="670" spans="2:8" x14ac:dyDescent="0.25">
      <c r="B670" s="2" t="s">
        <v>692</v>
      </c>
      <c r="C670" s="2" t="s">
        <v>14</v>
      </c>
      <c r="D670" s="2">
        <v>74</v>
      </c>
      <c r="E670" s="3" t="s">
        <v>6</v>
      </c>
      <c r="F670" s="7">
        <v>45150</v>
      </c>
      <c r="G670" s="2">
        <v>26</v>
      </c>
      <c r="H670" s="2">
        <v>4.3</v>
      </c>
    </row>
    <row r="671" spans="2:8" x14ac:dyDescent="0.25">
      <c r="B671" s="2" t="s">
        <v>693</v>
      </c>
      <c r="C671" s="2" t="s">
        <v>7</v>
      </c>
      <c r="D671" s="2">
        <v>134</v>
      </c>
      <c r="E671" s="3" t="s">
        <v>13</v>
      </c>
      <c r="F671" s="7">
        <v>45151</v>
      </c>
      <c r="G671" s="2">
        <v>160</v>
      </c>
      <c r="H671" s="2">
        <v>4.7</v>
      </c>
    </row>
    <row r="672" spans="2:8" x14ac:dyDescent="0.25">
      <c r="B672" s="2" t="s">
        <v>694</v>
      </c>
      <c r="C672" s="2" t="s">
        <v>16</v>
      </c>
      <c r="D672" s="2">
        <v>103</v>
      </c>
      <c r="E672" s="3" t="s">
        <v>9</v>
      </c>
      <c r="F672" s="7">
        <v>45151</v>
      </c>
      <c r="G672" s="2">
        <v>200</v>
      </c>
      <c r="H672" s="2">
        <v>4.9000000000000004</v>
      </c>
    </row>
    <row r="673" spans="2:8" x14ac:dyDescent="0.25">
      <c r="B673" s="2" t="s">
        <v>695</v>
      </c>
      <c r="C673" s="2" t="s">
        <v>16</v>
      </c>
      <c r="D673" s="2">
        <v>155</v>
      </c>
      <c r="E673" s="3" t="s">
        <v>10</v>
      </c>
      <c r="F673" s="7">
        <v>45154</v>
      </c>
      <c r="G673" s="2">
        <v>135</v>
      </c>
      <c r="H673" s="2">
        <v>4.9000000000000004</v>
      </c>
    </row>
    <row r="674" spans="2:8" x14ac:dyDescent="0.25">
      <c r="B674" s="2" t="s">
        <v>696</v>
      </c>
      <c r="C674" s="2" t="s">
        <v>20</v>
      </c>
      <c r="D674" s="2">
        <v>128</v>
      </c>
      <c r="E674" s="3" t="s">
        <v>9</v>
      </c>
      <c r="F674" s="7">
        <v>45155</v>
      </c>
      <c r="G674" s="2">
        <v>22</v>
      </c>
      <c r="H674" s="2">
        <v>1.9</v>
      </c>
    </row>
    <row r="675" spans="2:8" x14ac:dyDescent="0.25">
      <c r="B675" s="2" t="s">
        <v>697</v>
      </c>
      <c r="C675" s="2" t="s">
        <v>18</v>
      </c>
      <c r="D675" s="2">
        <v>89</v>
      </c>
      <c r="E675" s="3" t="s">
        <v>13</v>
      </c>
      <c r="F675" s="7">
        <v>45156</v>
      </c>
      <c r="G675" s="2">
        <v>164</v>
      </c>
      <c r="H675" s="2">
        <v>4.5</v>
      </c>
    </row>
    <row r="676" spans="2:8" x14ac:dyDescent="0.25">
      <c r="B676" s="2" t="s">
        <v>698</v>
      </c>
      <c r="C676" s="2" t="s">
        <v>8</v>
      </c>
      <c r="D676" s="2">
        <v>81</v>
      </c>
      <c r="E676" s="3" t="s">
        <v>10</v>
      </c>
      <c r="F676" s="7">
        <v>45156</v>
      </c>
      <c r="G676" s="2">
        <v>21</v>
      </c>
      <c r="H676" s="2">
        <v>4.9000000000000004</v>
      </c>
    </row>
    <row r="677" spans="2:8" x14ac:dyDescent="0.25">
      <c r="B677" s="2" t="s">
        <v>699</v>
      </c>
      <c r="C677" s="2" t="s">
        <v>18</v>
      </c>
      <c r="D677" s="2">
        <v>66</v>
      </c>
      <c r="E677" s="3" t="s">
        <v>13</v>
      </c>
      <c r="F677" s="7">
        <v>45157</v>
      </c>
      <c r="G677" s="2">
        <v>120</v>
      </c>
      <c r="H677" s="2">
        <v>4.5</v>
      </c>
    </row>
    <row r="678" spans="2:8" x14ac:dyDescent="0.25">
      <c r="B678" s="2" t="s">
        <v>700</v>
      </c>
      <c r="C678" s="2" t="s">
        <v>15</v>
      </c>
      <c r="D678" s="2">
        <v>61</v>
      </c>
      <c r="E678" s="3" t="s">
        <v>11</v>
      </c>
      <c r="F678" s="7">
        <v>45157</v>
      </c>
      <c r="G678" s="2">
        <v>93</v>
      </c>
      <c r="H678" s="2">
        <v>2.7</v>
      </c>
    </row>
    <row r="679" spans="2:8" x14ac:dyDescent="0.25">
      <c r="B679" s="2" t="s">
        <v>701</v>
      </c>
      <c r="C679" s="2" t="s">
        <v>8</v>
      </c>
      <c r="D679" s="2">
        <v>128</v>
      </c>
      <c r="E679" s="3" t="s">
        <v>11</v>
      </c>
      <c r="F679" s="7">
        <v>45157</v>
      </c>
      <c r="G679" s="2">
        <v>135</v>
      </c>
      <c r="H679" s="2">
        <v>2.1</v>
      </c>
    </row>
    <row r="680" spans="2:8" x14ac:dyDescent="0.25">
      <c r="B680" s="2" t="s">
        <v>702</v>
      </c>
      <c r="C680" s="2" t="s">
        <v>16</v>
      </c>
      <c r="D680" s="2">
        <v>30</v>
      </c>
      <c r="E680" s="3" t="s">
        <v>10</v>
      </c>
      <c r="F680" s="7">
        <v>45157</v>
      </c>
      <c r="G680" s="2">
        <v>210</v>
      </c>
      <c r="H680" s="2">
        <v>4.2</v>
      </c>
    </row>
    <row r="681" spans="2:8" x14ac:dyDescent="0.25">
      <c r="B681" s="2" t="s">
        <v>703</v>
      </c>
      <c r="C681" s="2" t="s">
        <v>5</v>
      </c>
      <c r="D681" s="2">
        <v>63</v>
      </c>
      <c r="E681" s="3" t="s">
        <v>11</v>
      </c>
      <c r="F681" s="7">
        <v>45158</v>
      </c>
      <c r="G681" s="2">
        <v>29</v>
      </c>
      <c r="H681" s="2">
        <v>4.7</v>
      </c>
    </row>
    <row r="682" spans="2:8" x14ac:dyDescent="0.25">
      <c r="B682" s="2" t="s">
        <v>704</v>
      </c>
      <c r="C682" s="2" t="s">
        <v>24</v>
      </c>
      <c r="D682" s="2">
        <v>64</v>
      </c>
      <c r="E682" s="3" t="s">
        <v>6</v>
      </c>
      <c r="F682" s="7">
        <v>45158</v>
      </c>
      <c r="G682" s="2">
        <v>111</v>
      </c>
      <c r="H682" s="2">
        <v>3.9</v>
      </c>
    </row>
    <row r="683" spans="2:8" x14ac:dyDescent="0.25">
      <c r="B683" s="2" t="s">
        <v>705</v>
      </c>
      <c r="C683" s="2" t="s">
        <v>21</v>
      </c>
      <c r="D683" s="2">
        <v>151</v>
      </c>
      <c r="E683" s="3" t="s">
        <v>9</v>
      </c>
      <c r="F683" s="7">
        <v>45159</v>
      </c>
      <c r="G683" s="2">
        <v>63</v>
      </c>
      <c r="H683" s="2">
        <v>4.0999999999999996</v>
      </c>
    </row>
    <row r="684" spans="2:8" x14ac:dyDescent="0.25">
      <c r="B684" s="2" t="s">
        <v>706</v>
      </c>
      <c r="C684" s="2" t="s">
        <v>17</v>
      </c>
      <c r="D684" s="2">
        <v>116</v>
      </c>
      <c r="E684" s="3" t="s">
        <v>13</v>
      </c>
      <c r="F684" s="7">
        <v>45159</v>
      </c>
      <c r="G684" s="2">
        <v>44</v>
      </c>
      <c r="H684" s="2">
        <v>3.8</v>
      </c>
    </row>
    <row r="685" spans="2:8" x14ac:dyDescent="0.25">
      <c r="B685" s="2" t="s">
        <v>707</v>
      </c>
      <c r="C685" s="2" t="s">
        <v>21</v>
      </c>
      <c r="D685" s="2">
        <v>111</v>
      </c>
      <c r="E685" s="3" t="s">
        <v>13</v>
      </c>
      <c r="F685" s="7">
        <v>45161</v>
      </c>
      <c r="G685" s="2">
        <v>120</v>
      </c>
      <c r="H685" s="2">
        <v>1.8</v>
      </c>
    </row>
    <row r="686" spans="2:8" x14ac:dyDescent="0.25">
      <c r="B686" s="2" t="s">
        <v>708</v>
      </c>
      <c r="C686" s="2" t="s">
        <v>8</v>
      </c>
      <c r="D686" s="2">
        <v>15</v>
      </c>
      <c r="E686" s="3" t="s">
        <v>13</v>
      </c>
      <c r="F686" s="7">
        <v>45161</v>
      </c>
      <c r="G686" s="2">
        <v>120</v>
      </c>
      <c r="H686" s="2">
        <v>4.0999999999999996</v>
      </c>
    </row>
    <row r="687" spans="2:8" x14ac:dyDescent="0.25">
      <c r="B687" s="2" t="s">
        <v>709</v>
      </c>
      <c r="C687" s="2" t="s">
        <v>24</v>
      </c>
      <c r="D687" s="2">
        <v>18</v>
      </c>
      <c r="E687" s="3" t="s">
        <v>9</v>
      </c>
      <c r="F687" s="7">
        <v>45162</v>
      </c>
      <c r="G687" s="2">
        <v>40</v>
      </c>
      <c r="H687" s="2">
        <v>4.4000000000000004</v>
      </c>
    </row>
    <row r="688" spans="2:8" x14ac:dyDescent="0.25">
      <c r="B688" s="2" t="s">
        <v>710</v>
      </c>
      <c r="C688" s="2" t="s">
        <v>15</v>
      </c>
      <c r="D688" s="2">
        <v>146</v>
      </c>
      <c r="E688" s="3" t="s">
        <v>11</v>
      </c>
      <c r="F688" s="7">
        <v>45162</v>
      </c>
      <c r="G688" s="2">
        <v>160</v>
      </c>
      <c r="H688" s="2">
        <v>4.0999999999999996</v>
      </c>
    </row>
    <row r="689" spans="2:8" x14ac:dyDescent="0.25">
      <c r="B689" s="2" t="s">
        <v>711</v>
      </c>
      <c r="C689" s="2" t="s">
        <v>16</v>
      </c>
      <c r="D689" s="2">
        <v>73</v>
      </c>
      <c r="E689" s="3" t="s">
        <v>13</v>
      </c>
      <c r="F689" s="7">
        <v>45163</v>
      </c>
      <c r="G689" s="2">
        <v>44</v>
      </c>
      <c r="H689" s="2">
        <v>3.8</v>
      </c>
    </row>
    <row r="690" spans="2:8" x14ac:dyDescent="0.25">
      <c r="B690" s="2" t="s">
        <v>712</v>
      </c>
      <c r="C690" s="2" t="s">
        <v>21</v>
      </c>
      <c r="D690" s="2">
        <v>108</v>
      </c>
      <c r="E690" s="3" t="s">
        <v>9</v>
      </c>
      <c r="F690" s="7">
        <v>45163</v>
      </c>
      <c r="G690" s="2">
        <v>80</v>
      </c>
      <c r="H690" s="2">
        <v>4.3</v>
      </c>
    </row>
    <row r="691" spans="2:8" x14ac:dyDescent="0.25">
      <c r="B691" s="2" t="s">
        <v>713</v>
      </c>
      <c r="C691" s="2" t="s">
        <v>7</v>
      </c>
      <c r="D691" s="2">
        <v>52</v>
      </c>
      <c r="E691" s="3" t="s">
        <v>9</v>
      </c>
      <c r="F691" s="7">
        <v>45164</v>
      </c>
      <c r="G691" s="2">
        <v>66</v>
      </c>
      <c r="H691" s="2">
        <v>4.5</v>
      </c>
    </row>
    <row r="692" spans="2:8" x14ac:dyDescent="0.25">
      <c r="B692" s="2" t="s">
        <v>714</v>
      </c>
      <c r="C692" s="2" t="s">
        <v>17</v>
      </c>
      <c r="D692" s="2">
        <v>165</v>
      </c>
      <c r="E692" s="3" t="s">
        <v>6</v>
      </c>
      <c r="F692" s="7">
        <v>45164</v>
      </c>
      <c r="G692" s="2">
        <v>82</v>
      </c>
      <c r="H692" s="2">
        <v>3.4</v>
      </c>
    </row>
    <row r="693" spans="2:8" x14ac:dyDescent="0.25">
      <c r="B693" s="2" t="s">
        <v>715</v>
      </c>
      <c r="C693" s="2" t="s">
        <v>15</v>
      </c>
      <c r="D693" s="2">
        <v>104</v>
      </c>
      <c r="E693" s="3" t="s">
        <v>13</v>
      </c>
      <c r="F693" s="7">
        <v>45164</v>
      </c>
      <c r="G693" s="2">
        <v>66</v>
      </c>
      <c r="H693" s="2">
        <v>4.8</v>
      </c>
    </row>
    <row r="694" spans="2:8" x14ac:dyDescent="0.25">
      <c r="B694" s="2" t="s">
        <v>716</v>
      </c>
      <c r="C694" s="2" t="s">
        <v>16</v>
      </c>
      <c r="D694" s="2">
        <v>131</v>
      </c>
      <c r="E694" s="3" t="s">
        <v>11</v>
      </c>
      <c r="F694" s="7">
        <v>45164</v>
      </c>
      <c r="G694" s="2">
        <v>92</v>
      </c>
      <c r="H694" s="2">
        <v>4.9000000000000004</v>
      </c>
    </row>
    <row r="695" spans="2:8" x14ac:dyDescent="0.25">
      <c r="B695" s="2" t="s">
        <v>717</v>
      </c>
      <c r="C695" s="2" t="s">
        <v>19</v>
      </c>
      <c r="D695" s="2">
        <v>80</v>
      </c>
      <c r="E695" s="3" t="s">
        <v>6</v>
      </c>
      <c r="F695" s="7">
        <v>45165</v>
      </c>
      <c r="G695" s="2">
        <v>104</v>
      </c>
      <c r="H695" s="2">
        <v>4.7</v>
      </c>
    </row>
    <row r="696" spans="2:8" x14ac:dyDescent="0.25">
      <c r="B696" s="2" t="s">
        <v>718</v>
      </c>
      <c r="C696" s="2" t="s">
        <v>8</v>
      </c>
      <c r="D696" s="2">
        <v>49</v>
      </c>
      <c r="E696" s="3" t="s">
        <v>13</v>
      </c>
      <c r="F696" s="7">
        <v>45165</v>
      </c>
      <c r="G696" s="2">
        <v>105</v>
      </c>
      <c r="H696" s="2">
        <v>3.3</v>
      </c>
    </row>
    <row r="697" spans="2:8" x14ac:dyDescent="0.25">
      <c r="B697" s="2" t="s">
        <v>719</v>
      </c>
      <c r="C697" s="2" t="s">
        <v>17</v>
      </c>
      <c r="D697" s="2">
        <v>73</v>
      </c>
      <c r="E697" s="3" t="s">
        <v>13</v>
      </c>
      <c r="F697" s="7">
        <v>45165</v>
      </c>
      <c r="G697" s="2">
        <v>100</v>
      </c>
      <c r="H697" s="2">
        <v>2.8</v>
      </c>
    </row>
    <row r="698" spans="2:8" x14ac:dyDescent="0.25">
      <c r="B698" s="2" t="s">
        <v>720</v>
      </c>
      <c r="C698" s="2" t="s">
        <v>15</v>
      </c>
      <c r="D698" s="2">
        <v>117</v>
      </c>
      <c r="E698" s="3" t="s">
        <v>6</v>
      </c>
      <c r="F698" s="7">
        <v>45165</v>
      </c>
      <c r="G698" s="2">
        <v>90</v>
      </c>
      <c r="H698" s="2">
        <v>4.0999999999999996</v>
      </c>
    </row>
    <row r="699" spans="2:8" x14ac:dyDescent="0.25">
      <c r="B699" s="2" t="s">
        <v>721</v>
      </c>
      <c r="C699" s="2" t="s">
        <v>23</v>
      </c>
      <c r="D699" s="2">
        <v>38</v>
      </c>
      <c r="E699" s="3" t="s">
        <v>10</v>
      </c>
      <c r="F699" s="7">
        <v>45165</v>
      </c>
      <c r="G699" s="2">
        <v>110</v>
      </c>
      <c r="H699" s="2">
        <v>3.5</v>
      </c>
    </row>
    <row r="700" spans="2:8" x14ac:dyDescent="0.25">
      <c r="B700" s="2" t="s">
        <v>722</v>
      </c>
      <c r="C700" s="2" t="s">
        <v>7</v>
      </c>
      <c r="D700" s="2">
        <v>109</v>
      </c>
      <c r="E700" s="3" t="s">
        <v>6</v>
      </c>
      <c r="F700" s="7">
        <v>45167</v>
      </c>
      <c r="G700" s="2">
        <v>68</v>
      </c>
      <c r="H700" s="2">
        <v>2.2999999999999998</v>
      </c>
    </row>
    <row r="701" spans="2:8" x14ac:dyDescent="0.25">
      <c r="B701" s="2" t="s">
        <v>723</v>
      </c>
      <c r="C701" s="2" t="s">
        <v>8</v>
      </c>
      <c r="D701" s="2">
        <v>70</v>
      </c>
      <c r="E701" s="3" t="s">
        <v>9</v>
      </c>
      <c r="F701" s="7">
        <v>45168</v>
      </c>
      <c r="G701" s="2">
        <v>210</v>
      </c>
      <c r="H701" s="2">
        <v>4.0999999999999996</v>
      </c>
    </row>
    <row r="702" spans="2:8" x14ac:dyDescent="0.25">
      <c r="B702" s="2" t="s">
        <v>724</v>
      </c>
      <c r="C702" s="2" t="s">
        <v>12</v>
      </c>
      <c r="D702" s="2">
        <v>51</v>
      </c>
      <c r="E702" s="3" t="s">
        <v>10</v>
      </c>
      <c r="F702" s="7">
        <v>45168</v>
      </c>
      <c r="G702" s="2">
        <v>111</v>
      </c>
      <c r="H702" s="2">
        <v>4.3</v>
      </c>
    </row>
    <row r="703" spans="2:8" x14ac:dyDescent="0.25">
      <c r="B703" s="2" t="s">
        <v>725</v>
      </c>
      <c r="C703" s="2" t="s">
        <v>12</v>
      </c>
      <c r="D703" s="2">
        <v>100</v>
      </c>
      <c r="E703" s="3" t="s">
        <v>9</v>
      </c>
      <c r="F703" s="7">
        <v>45169</v>
      </c>
      <c r="G703" s="2">
        <v>45</v>
      </c>
      <c r="H703" s="2">
        <v>4.9000000000000004</v>
      </c>
    </row>
    <row r="704" spans="2:8" x14ac:dyDescent="0.25">
      <c r="B704" s="2" t="s">
        <v>726</v>
      </c>
      <c r="C704" s="2" t="s">
        <v>14</v>
      </c>
      <c r="D704" s="2">
        <v>124</v>
      </c>
      <c r="E704" s="3" t="s">
        <v>10</v>
      </c>
      <c r="F704" s="7">
        <v>45170</v>
      </c>
      <c r="G704" s="2">
        <v>132</v>
      </c>
      <c r="H704" s="2">
        <v>4</v>
      </c>
    </row>
    <row r="705" spans="2:8" x14ac:dyDescent="0.25">
      <c r="B705" s="2" t="s">
        <v>727</v>
      </c>
      <c r="C705" s="2" t="s">
        <v>20</v>
      </c>
      <c r="D705" s="2">
        <v>143</v>
      </c>
      <c r="E705" s="3" t="s">
        <v>6</v>
      </c>
      <c r="F705" s="7">
        <v>45170</v>
      </c>
      <c r="G705" s="2">
        <v>20</v>
      </c>
      <c r="H705" s="2">
        <v>4.7</v>
      </c>
    </row>
    <row r="706" spans="2:8" x14ac:dyDescent="0.25">
      <c r="B706" s="2" t="s">
        <v>728</v>
      </c>
      <c r="C706" s="2" t="s">
        <v>18</v>
      </c>
      <c r="D706" s="2">
        <v>96</v>
      </c>
      <c r="E706" s="3" t="s">
        <v>13</v>
      </c>
      <c r="F706" s="7">
        <v>45170</v>
      </c>
      <c r="G706" s="2">
        <v>36</v>
      </c>
      <c r="H706" s="2">
        <v>3.4</v>
      </c>
    </row>
    <row r="707" spans="2:8" x14ac:dyDescent="0.25">
      <c r="B707" s="2" t="s">
        <v>729</v>
      </c>
      <c r="C707" s="2" t="s">
        <v>17</v>
      </c>
      <c r="D707" s="2">
        <v>84</v>
      </c>
      <c r="E707" s="3" t="s">
        <v>9</v>
      </c>
      <c r="F707" s="7">
        <v>45172</v>
      </c>
      <c r="G707" s="2">
        <v>72</v>
      </c>
      <c r="H707" s="2">
        <v>4</v>
      </c>
    </row>
    <row r="708" spans="2:8" x14ac:dyDescent="0.25">
      <c r="B708" s="2" t="s">
        <v>730</v>
      </c>
      <c r="C708" s="2" t="s">
        <v>22</v>
      </c>
      <c r="D708" s="2">
        <v>111</v>
      </c>
      <c r="E708" s="3" t="s">
        <v>9</v>
      </c>
      <c r="F708" s="7">
        <v>45172</v>
      </c>
      <c r="G708" s="2">
        <v>63</v>
      </c>
      <c r="H708" s="2">
        <v>4.5</v>
      </c>
    </row>
    <row r="709" spans="2:8" x14ac:dyDescent="0.25">
      <c r="B709" s="2" t="s">
        <v>731</v>
      </c>
      <c r="C709" s="2" t="s">
        <v>22</v>
      </c>
      <c r="D709" s="2">
        <v>103</v>
      </c>
      <c r="E709" s="3" t="s">
        <v>10</v>
      </c>
      <c r="F709" s="7">
        <v>45173</v>
      </c>
      <c r="G709" s="2">
        <v>44</v>
      </c>
      <c r="H709" s="2">
        <v>4.5</v>
      </c>
    </row>
    <row r="710" spans="2:8" x14ac:dyDescent="0.25">
      <c r="B710" s="2" t="s">
        <v>732</v>
      </c>
      <c r="C710" s="2" t="s">
        <v>20</v>
      </c>
      <c r="D710" s="2">
        <v>61</v>
      </c>
      <c r="E710" s="3" t="s">
        <v>11</v>
      </c>
      <c r="F710" s="7">
        <v>45173</v>
      </c>
      <c r="G710" s="2">
        <v>132</v>
      </c>
      <c r="H710" s="2">
        <v>4.9000000000000004</v>
      </c>
    </row>
    <row r="711" spans="2:8" x14ac:dyDescent="0.25">
      <c r="B711" s="2" t="s">
        <v>733</v>
      </c>
      <c r="C711" s="2" t="s">
        <v>16</v>
      </c>
      <c r="D711" s="2">
        <v>113</v>
      </c>
      <c r="E711" s="3" t="s">
        <v>13</v>
      </c>
      <c r="F711" s="7">
        <v>45173</v>
      </c>
      <c r="G711" s="2">
        <v>46</v>
      </c>
      <c r="H711" s="2">
        <v>4.4000000000000004</v>
      </c>
    </row>
    <row r="712" spans="2:8" x14ac:dyDescent="0.25">
      <c r="B712" s="2" t="s">
        <v>734</v>
      </c>
      <c r="C712" s="2" t="s">
        <v>16</v>
      </c>
      <c r="D712" s="2">
        <v>96</v>
      </c>
      <c r="E712" s="3" t="s">
        <v>13</v>
      </c>
      <c r="F712" s="7">
        <v>45173</v>
      </c>
      <c r="G712" s="2">
        <v>96</v>
      </c>
      <c r="H712" s="2">
        <v>2.9</v>
      </c>
    </row>
    <row r="713" spans="2:8" x14ac:dyDescent="0.25">
      <c r="B713" s="2" t="s">
        <v>735</v>
      </c>
      <c r="C713" s="2" t="s">
        <v>24</v>
      </c>
      <c r="D713" s="2">
        <v>131</v>
      </c>
      <c r="E713" s="3" t="s">
        <v>10</v>
      </c>
      <c r="F713" s="7">
        <v>45174</v>
      </c>
      <c r="G713" s="2">
        <v>75</v>
      </c>
      <c r="H713" s="2">
        <v>4.4000000000000004</v>
      </c>
    </row>
    <row r="714" spans="2:8" x14ac:dyDescent="0.25">
      <c r="B714" s="2" t="s">
        <v>736</v>
      </c>
      <c r="C714" s="2" t="s">
        <v>15</v>
      </c>
      <c r="D714" s="2">
        <v>52</v>
      </c>
      <c r="E714" s="3" t="s">
        <v>13</v>
      </c>
      <c r="F714" s="7">
        <v>45175</v>
      </c>
      <c r="G714" s="2">
        <v>88</v>
      </c>
      <c r="H714" s="2">
        <v>4.3</v>
      </c>
    </row>
    <row r="715" spans="2:8" x14ac:dyDescent="0.25">
      <c r="B715" s="2" t="s">
        <v>737</v>
      </c>
      <c r="C715" s="2" t="s">
        <v>12</v>
      </c>
      <c r="D715" s="2">
        <v>100</v>
      </c>
      <c r="E715" s="3" t="s">
        <v>10</v>
      </c>
      <c r="F715" s="7">
        <v>45175</v>
      </c>
      <c r="G715" s="2">
        <v>24</v>
      </c>
      <c r="H715" s="2">
        <v>4.7</v>
      </c>
    </row>
    <row r="716" spans="2:8" x14ac:dyDescent="0.25">
      <c r="B716" s="2" t="s">
        <v>738</v>
      </c>
      <c r="C716" s="2" t="s">
        <v>21</v>
      </c>
      <c r="D716" s="2">
        <v>58</v>
      </c>
      <c r="E716" s="3" t="s">
        <v>6</v>
      </c>
      <c r="F716" s="7">
        <v>45175</v>
      </c>
      <c r="G716" s="2">
        <v>96</v>
      </c>
      <c r="H716" s="2">
        <v>3.2</v>
      </c>
    </row>
    <row r="717" spans="2:8" x14ac:dyDescent="0.25">
      <c r="B717" s="2" t="s">
        <v>739</v>
      </c>
      <c r="C717" s="2" t="s">
        <v>8</v>
      </c>
      <c r="D717" s="2">
        <v>144</v>
      </c>
      <c r="E717" s="3" t="s">
        <v>6</v>
      </c>
      <c r="F717" s="7">
        <v>45176</v>
      </c>
      <c r="G717" s="2">
        <v>124</v>
      </c>
      <c r="H717" s="2">
        <v>2.2999999999999998</v>
      </c>
    </row>
    <row r="718" spans="2:8" x14ac:dyDescent="0.25">
      <c r="B718" s="2" t="s">
        <v>740</v>
      </c>
      <c r="C718" s="2" t="s">
        <v>21</v>
      </c>
      <c r="D718" s="2">
        <v>53</v>
      </c>
      <c r="E718" s="3" t="s">
        <v>11</v>
      </c>
      <c r="F718" s="7">
        <v>45177</v>
      </c>
      <c r="G718" s="2">
        <v>130</v>
      </c>
      <c r="H718" s="2">
        <v>3.6</v>
      </c>
    </row>
    <row r="719" spans="2:8" x14ac:dyDescent="0.25">
      <c r="B719" s="2" t="s">
        <v>741</v>
      </c>
      <c r="C719" s="2" t="s">
        <v>16</v>
      </c>
      <c r="D719" s="2">
        <v>97</v>
      </c>
      <c r="E719" s="3" t="s">
        <v>9</v>
      </c>
      <c r="F719" s="7">
        <v>45177</v>
      </c>
      <c r="G719" s="2">
        <v>45</v>
      </c>
      <c r="H719" s="2">
        <v>4.5999999999999996</v>
      </c>
    </row>
    <row r="720" spans="2:8" x14ac:dyDescent="0.25">
      <c r="B720" s="2" t="s">
        <v>742</v>
      </c>
      <c r="C720" s="2" t="s">
        <v>23</v>
      </c>
      <c r="D720" s="2">
        <v>64</v>
      </c>
      <c r="E720" s="3" t="s">
        <v>6</v>
      </c>
      <c r="F720" s="7">
        <v>45177</v>
      </c>
      <c r="G720" s="2">
        <v>66</v>
      </c>
      <c r="H720" s="2">
        <v>4</v>
      </c>
    </row>
    <row r="721" spans="2:8" x14ac:dyDescent="0.25">
      <c r="B721" s="2" t="s">
        <v>743</v>
      </c>
      <c r="C721" s="2" t="s">
        <v>20</v>
      </c>
      <c r="D721" s="2">
        <v>106</v>
      </c>
      <c r="E721" s="3" t="s">
        <v>10</v>
      </c>
      <c r="F721" s="7">
        <v>45177</v>
      </c>
      <c r="G721" s="2">
        <v>58</v>
      </c>
      <c r="H721" s="2">
        <v>4.7</v>
      </c>
    </row>
    <row r="722" spans="2:8" x14ac:dyDescent="0.25">
      <c r="B722" s="2" t="s">
        <v>744</v>
      </c>
      <c r="C722" s="2" t="s">
        <v>17</v>
      </c>
      <c r="D722" s="2">
        <v>36</v>
      </c>
      <c r="E722" s="3" t="s">
        <v>6</v>
      </c>
      <c r="F722" s="7">
        <v>45178</v>
      </c>
      <c r="G722" s="2">
        <v>152</v>
      </c>
      <c r="H722" s="2">
        <v>4.3</v>
      </c>
    </row>
    <row r="723" spans="2:8" x14ac:dyDescent="0.25">
      <c r="B723" s="2" t="s">
        <v>745</v>
      </c>
      <c r="C723" s="2" t="s">
        <v>8</v>
      </c>
      <c r="D723" s="2">
        <v>74</v>
      </c>
      <c r="E723" s="3" t="s">
        <v>13</v>
      </c>
      <c r="F723" s="7">
        <v>45178</v>
      </c>
      <c r="G723" s="2">
        <v>75</v>
      </c>
      <c r="H723" s="2">
        <v>2.8</v>
      </c>
    </row>
    <row r="724" spans="2:8" x14ac:dyDescent="0.25">
      <c r="B724" s="2" t="s">
        <v>746</v>
      </c>
      <c r="C724" s="2" t="s">
        <v>7</v>
      </c>
      <c r="D724" s="2">
        <v>143</v>
      </c>
      <c r="E724" s="3" t="s">
        <v>9</v>
      </c>
      <c r="F724" s="7">
        <v>45178</v>
      </c>
      <c r="G724" s="2">
        <v>78</v>
      </c>
      <c r="H724" s="2">
        <v>4</v>
      </c>
    </row>
    <row r="725" spans="2:8" x14ac:dyDescent="0.25">
      <c r="B725" s="2" t="s">
        <v>747</v>
      </c>
      <c r="C725" s="2" t="s">
        <v>20</v>
      </c>
      <c r="D725" s="2">
        <v>94</v>
      </c>
      <c r="E725" s="3" t="s">
        <v>11</v>
      </c>
      <c r="F725" s="7">
        <v>45178</v>
      </c>
      <c r="G725" s="2">
        <v>69</v>
      </c>
      <c r="H725" s="2">
        <v>3.9</v>
      </c>
    </row>
    <row r="726" spans="2:8" x14ac:dyDescent="0.25">
      <c r="B726" s="2" t="s">
        <v>748</v>
      </c>
      <c r="C726" s="2" t="s">
        <v>19</v>
      </c>
      <c r="D726" s="2">
        <v>124</v>
      </c>
      <c r="E726" s="3" t="s">
        <v>10</v>
      </c>
      <c r="F726" s="7">
        <v>45179</v>
      </c>
      <c r="G726" s="2">
        <v>46</v>
      </c>
      <c r="H726" s="2">
        <v>3.1</v>
      </c>
    </row>
    <row r="727" spans="2:8" x14ac:dyDescent="0.25">
      <c r="B727" s="2" t="s">
        <v>749</v>
      </c>
      <c r="C727" s="2" t="s">
        <v>17</v>
      </c>
      <c r="D727" s="2">
        <v>156</v>
      </c>
      <c r="E727" s="3" t="s">
        <v>6</v>
      </c>
      <c r="F727" s="7">
        <v>45179</v>
      </c>
      <c r="G727" s="2">
        <v>64</v>
      </c>
      <c r="H727" s="2">
        <v>2.7</v>
      </c>
    </row>
    <row r="728" spans="2:8" x14ac:dyDescent="0.25">
      <c r="B728" s="2" t="s">
        <v>750</v>
      </c>
      <c r="C728" s="2" t="s">
        <v>18</v>
      </c>
      <c r="D728" s="2">
        <v>107</v>
      </c>
      <c r="E728" s="3" t="s">
        <v>9</v>
      </c>
      <c r="F728" s="7">
        <v>45179</v>
      </c>
      <c r="G728" s="2">
        <v>38</v>
      </c>
      <c r="H728" s="2">
        <v>4.7</v>
      </c>
    </row>
    <row r="729" spans="2:8" x14ac:dyDescent="0.25">
      <c r="B729" s="2" t="s">
        <v>751</v>
      </c>
      <c r="C729" s="2" t="s">
        <v>20</v>
      </c>
      <c r="D729" s="2">
        <v>58</v>
      </c>
      <c r="E729" s="3" t="s">
        <v>9</v>
      </c>
      <c r="F729" s="7">
        <v>45181</v>
      </c>
      <c r="G729" s="2">
        <v>90</v>
      </c>
      <c r="H729" s="2">
        <v>4.3</v>
      </c>
    </row>
    <row r="730" spans="2:8" x14ac:dyDescent="0.25">
      <c r="B730" s="2" t="s">
        <v>752</v>
      </c>
      <c r="C730" s="2" t="s">
        <v>14</v>
      </c>
      <c r="D730" s="2">
        <v>66</v>
      </c>
      <c r="E730" s="3" t="s">
        <v>9</v>
      </c>
      <c r="F730" s="7">
        <v>45181</v>
      </c>
      <c r="G730" s="2">
        <v>32</v>
      </c>
      <c r="H730" s="2">
        <v>3.8</v>
      </c>
    </row>
    <row r="731" spans="2:8" x14ac:dyDescent="0.25">
      <c r="B731" s="2" t="s">
        <v>753</v>
      </c>
      <c r="C731" s="2" t="s">
        <v>24</v>
      </c>
      <c r="D731" s="2">
        <v>75</v>
      </c>
      <c r="E731" s="3" t="s">
        <v>6</v>
      </c>
      <c r="F731" s="7">
        <v>45181</v>
      </c>
      <c r="G731" s="2">
        <v>120</v>
      </c>
      <c r="H731" s="2">
        <v>4.4000000000000004</v>
      </c>
    </row>
    <row r="732" spans="2:8" x14ac:dyDescent="0.25">
      <c r="B732" s="2" t="s">
        <v>754</v>
      </c>
      <c r="C732" s="2" t="s">
        <v>18</v>
      </c>
      <c r="D732" s="2">
        <v>8</v>
      </c>
      <c r="E732" s="3" t="s">
        <v>9</v>
      </c>
      <c r="F732" s="7">
        <v>45181</v>
      </c>
      <c r="G732" s="2">
        <v>31</v>
      </c>
      <c r="H732" s="2">
        <v>3.9</v>
      </c>
    </row>
    <row r="733" spans="2:8" x14ac:dyDescent="0.25">
      <c r="B733" s="2" t="s">
        <v>755</v>
      </c>
      <c r="C733" s="2" t="s">
        <v>23</v>
      </c>
      <c r="D733" s="2">
        <v>76</v>
      </c>
      <c r="E733" s="3" t="s">
        <v>6</v>
      </c>
      <c r="F733" s="7">
        <v>45182</v>
      </c>
      <c r="G733" s="2">
        <v>108</v>
      </c>
      <c r="H733" s="2">
        <v>4.9000000000000004</v>
      </c>
    </row>
    <row r="734" spans="2:8" x14ac:dyDescent="0.25">
      <c r="B734" s="2" t="s">
        <v>756</v>
      </c>
      <c r="C734" s="2" t="s">
        <v>20</v>
      </c>
      <c r="D734" s="2">
        <v>110</v>
      </c>
      <c r="E734" s="3" t="s">
        <v>6</v>
      </c>
      <c r="F734" s="7">
        <v>45182</v>
      </c>
      <c r="G734" s="2">
        <v>180</v>
      </c>
      <c r="H734" s="2">
        <v>4.2</v>
      </c>
    </row>
    <row r="735" spans="2:8" x14ac:dyDescent="0.25">
      <c r="B735" s="2" t="s">
        <v>757</v>
      </c>
      <c r="C735" s="2" t="s">
        <v>14</v>
      </c>
      <c r="D735" s="2">
        <v>50</v>
      </c>
      <c r="E735" s="3" t="s">
        <v>11</v>
      </c>
      <c r="F735" s="7">
        <v>45183</v>
      </c>
      <c r="G735" s="2">
        <v>124</v>
      </c>
      <c r="H735" s="2">
        <v>4</v>
      </c>
    </row>
    <row r="736" spans="2:8" x14ac:dyDescent="0.25">
      <c r="B736" s="2" t="s">
        <v>758</v>
      </c>
      <c r="C736" s="2" t="s">
        <v>15</v>
      </c>
      <c r="D736" s="2">
        <v>78</v>
      </c>
      <c r="E736" s="3" t="s">
        <v>11</v>
      </c>
      <c r="F736" s="7">
        <v>45183</v>
      </c>
      <c r="G736" s="2">
        <v>23</v>
      </c>
      <c r="H736" s="2">
        <v>4.2</v>
      </c>
    </row>
    <row r="737" spans="2:8" x14ac:dyDescent="0.25">
      <c r="B737" s="2" t="s">
        <v>759</v>
      </c>
      <c r="C737" s="2" t="s">
        <v>16</v>
      </c>
      <c r="D737" s="2">
        <v>59</v>
      </c>
      <c r="E737" s="3" t="s">
        <v>10</v>
      </c>
      <c r="F737" s="7">
        <v>45184</v>
      </c>
      <c r="G737" s="2">
        <v>24</v>
      </c>
      <c r="H737" s="2">
        <v>4.8</v>
      </c>
    </row>
    <row r="738" spans="2:8" x14ac:dyDescent="0.25">
      <c r="B738" s="2" t="s">
        <v>760</v>
      </c>
      <c r="C738" s="2" t="s">
        <v>15</v>
      </c>
      <c r="D738" s="2">
        <v>126</v>
      </c>
      <c r="E738" s="3" t="s">
        <v>9</v>
      </c>
      <c r="F738" s="7">
        <v>45185</v>
      </c>
      <c r="G738" s="2">
        <v>52</v>
      </c>
      <c r="H738" s="2">
        <v>1.1000000000000001</v>
      </c>
    </row>
    <row r="739" spans="2:8" x14ac:dyDescent="0.25">
      <c r="B739" s="2" t="s">
        <v>761</v>
      </c>
      <c r="C739" s="2" t="s">
        <v>23</v>
      </c>
      <c r="D739" s="2">
        <v>43</v>
      </c>
      <c r="E739" s="3" t="s">
        <v>10</v>
      </c>
      <c r="F739" s="7">
        <v>45186</v>
      </c>
      <c r="G739" s="2">
        <v>168</v>
      </c>
      <c r="H739" s="2">
        <v>4</v>
      </c>
    </row>
    <row r="740" spans="2:8" x14ac:dyDescent="0.25">
      <c r="B740" s="2" t="s">
        <v>762</v>
      </c>
      <c r="C740" s="2" t="s">
        <v>17</v>
      </c>
      <c r="D740" s="2">
        <v>79</v>
      </c>
      <c r="E740" s="3" t="s">
        <v>6</v>
      </c>
      <c r="F740" s="7">
        <v>45188</v>
      </c>
      <c r="G740" s="2">
        <v>125</v>
      </c>
      <c r="H740" s="2">
        <v>4.8</v>
      </c>
    </row>
    <row r="741" spans="2:8" x14ac:dyDescent="0.25">
      <c r="B741" s="2" t="s">
        <v>763</v>
      </c>
      <c r="C741" s="2" t="s">
        <v>20</v>
      </c>
      <c r="D741" s="2">
        <v>71</v>
      </c>
      <c r="E741" s="3" t="s">
        <v>10</v>
      </c>
      <c r="F741" s="7">
        <v>45189</v>
      </c>
      <c r="G741" s="2">
        <v>50</v>
      </c>
      <c r="H741" s="2">
        <v>4.2</v>
      </c>
    </row>
    <row r="742" spans="2:8" x14ac:dyDescent="0.25">
      <c r="B742" s="2" t="s">
        <v>764</v>
      </c>
      <c r="C742" s="2" t="s">
        <v>22</v>
      </c>
      <c r="D742" s="2">
        <v>94</v>
      </c>
      <c r="E742" s="3" t="s">
        <v>9</v>
      </c>
      <c r="F742" s="7">
        <v>45190</v>
      </c>
      <c r="G742" s="2">
        <v>220</v>
      </c>
      <c r="H742" s="2">
        <v>4.5999999999999996</v>
      </c>
    </row>
    <row r="743" spans="2:8" x14ac:dyDescent="0.25">
      <c r="B743" s="2" t="s">
        <v>765</v>
      </c>
      <c r="C743" s="2" t="s">
        <v>18</v>
      </c>
      <c r="D743" s="2">
        <v>108</v>
      </c>
      <c r="E743" s="3" t="s">
        <v>10</v>
      </c>
      <c r="F743" s="7">
        <v>45190</v>
      </c>
      <c r="G743" s="2">
        <v>180</v>
      </c>
      <c r="H743" s="2">
        <v>4</v>
      </c>
    </row>
    <row r="744" spans="2:8" x14ac:dyDescent="0.25">
      <c r="B744" s="2" t="s">
        <v>766</v>
      </c>
      <c r="C744" s="2" t="s">
        <v>23</v>
      </c>
      <c r="D744" s="2">
        <v>76</v>
      </c>
      <c r="E744" s="3" t="s">
        <v>9</v>
      </c>
      <c r="F744" s="7">
        <v>45190</v>
      </c>
      <c r="G744" s="2">
        <v>110</v>
      </c>
      <c r="H744" s="2">
        <v>3.9</v>
      </c>
    </row>
    <row r="745" spans="2:8" x14ac:dyDescent="0.25">
      <c r="B745" s="2" t="s">
        <v>767</v>
      </c>
      <c r="C745" s="2" t="s">
        <v>16</v>
      </c>
      <c r="D745" s="2">
        <v>136</v>
      </c>
      <c r="E745" s="3" t="s">
        <v>10</v>
      </c>
      <c r="F745" s="7">
        <v>45190</v>
      </c>
      <c r="G745" s="2">
        <v>36</v>
      </c>
      <c r="H745" s="2">
        <v>2.8</v>
      </c>
    </row>
    <row r="746" spans="2:8" x14ac:dyDescent="0.25">
      <c r="B746" s="2" t="s">
        <v>768</v>
      </c>
      <c r="C746" s="2" t="s">
        <v>12</v>
      </c>
      <c r="D746" s="2">
        <v>129</v>
      </c>
      <c r="E746" s="3" t="s">
        <v>11</v>
      </c>
      <c r="F746" s="7">
        <v>45191</v>
      </c>
      <c r="G746" s="2">
        <v>93</v>
      </c>
      <c r="H746" s="2">
        <v>4.7</v>
      </c>
    </row>
    <row r="747" spans="2:8" x14ac:dyDescent="0.25">
      <c r="B747" s="2" t="s">
        <v>769</v>
      </c>
      <c r="C747" s="2" t="s">
        <v>18</v>
      </c>
      <c r="D747" s="2">
        <v>120</v>
      </c>
      <c r="E747" s="3" t="s">
        <v>10</v>
      </c>
      <c r="F747" s="7">
        <v>45191</v>
      </c>
      <c r="G747" s="2">
        <v>38</v>
      </c>
      <c r="H747" s="2">
        <v>4.2</v>
      </c>
    </row>
    <row r="748" spans="2:8" x14ac:dyDescent="0.25">
      <c r="B748" s="2" t="s">
        <v>770</v>
      </c>
      <c r="C748" s="2" t="s">
        <v>23</v>
      </c>
      <c r="D748" s="2">
        <v>108</v>
      </c>
      <c r="E748" s="3" t="s">
        <v>11</v>
      </c>
      <c r="F748" s="7">
        <v>45192</v>
      </c>
      <c r="G748" s="2">
        <v>66</v>
      </c>
      <c r="H748" s="2">
        <v>3.9</v>
      </c>
    </row>
    <row r="749" spans="2:8" x14ac:dyDescent="0.25">
      <c r="B749" s="2" t="s">
        <v>771</v>
      </c>
      <c r="C749" s="2" t="s">
        <v>15</v>
      </c>
      <c r="D749" s="2">
        <v>79</v>
      </c>
      <c r="E749" s="3" t="s">
        <v>10</v>
      </c>
      <c r="F749" s="7">
        <v>45192</v>
      </c>
      <c r="G749" s="2">
        <v>215</v>
      </c>
      <c r="H749" s="2">
        <v>4.5999999999999996</v>
      </c>
    </row>
    <row r="750" spans="2:8" x14ac:dyDescent="0.25">
      <c r="B750" s="2" t="s">
        <v>772</v>
      </c>
      <c r="C750" s="2" t="s">
        <v>15</v>
      </c>
      <c r="D750" s="2">
        <v>45</v>
      </c>
      <c r="E750" s="3" t="s">
        <v>11</v>
      </c>
      <c r="F750" s="7">
        <v>45192</v>
      </c>
      <c r="G750" s="2">
        <v>92</v>
      </c>
      <c r="H750" s="2">
        <v>4.3</v>
      </c>
    </row>
    <row r="751" spans="2:8" x14ac:dyDescent="0.25">
      <c r="B751" s="2" t="s">
        <v>773</v>
      </c>
      <c r="C751" s="2" t="s">
        <v>8</v>
      </c>
      <c r="D751" s="2">
        <v>96</v>
      </c>
      <c r="E751" s="3" t="s">
        <v>10</v>
      </c>
      <c r="F751" s="7">
        <v>45192</v>
      </c>
      <c r="G751" s="2">
        <v>80</v>
      </c>
      <c r="H751" s="2">
        <v>3.6</v>
      </c>
    </row>
    <row r="752" spans="2:8" x14ac:dyDescent="0.25">
      <c r="B752" s="2" t="s">
        <v>774</v>
      </c>
      <c r="C752" s="2" t="s">
        <v>8</v>
      </c>
      <c r="D752" s="2">
        <v>81</v>
      </c>
      <c r="E752" s="3" t="s">
        <v>10</v>
      </c>
      <c r="F752" s="7">
        <v>45193</v>
      </c>
      <c r="G752" s="2">
        <v>123</v>
      </c>
      <c r="H752" s="2">
        <v>4.9000000000000004</v>
      </c>
    </row>
    <row r="753" spans="2:8" x14ac:dyDescent="0.25">
      <c r="B753" s="2" t="s">
        <v>775</v>
      </c>
      <c r="C753" s="2" t="s">
        <v>16</v>
      </c>
      <c r="D753" s="2">
        <v>95</v>
      </c>
      <c r="E753" s="3" t="s">
        <v>13</v>
      </c>
      <c r="F753" s="7">
        <v>45193</v>
      </c>
      <c r="G753" s="2">
        <v>23</v>
      </c>
      <c r="H753" s="2">
        <v>2.4</v>
      </c>
    </row>
    <row r="754" spans="2:8" x14ac:dyDescent="0.25">
      <c r="B754" s="2" t="s">
        <v>776</v>
      </c>
      <c r="C754" s="2" t="s">
        <v>19</v>
      </c>
      <c r="D754" s="2">
        <v>159</v>
      </c>
      <c r="E754" s="3" t="s">
        <v>9</v>
      </c>
      <c r="F754" s="7">
        <v>45193</v>
      </c>
      <c r="G754" s="2">
        <v>63</v>
      </c>
      <c r="H754" s="2">
        <v>4.2</v>
      </c>
    </row>
    <row r="755" spans="2:8" x14ac:dyDescent="0.25">
      <c r="B755" s="2" t="s">
        <v>777</v>
      </c>
      <c r="C755" s="2" t="s">
        <v>5</v>
      </c>
      <c r="D755" s="2">
        <v>109</v>
      </c>
      <c r="E755" s="3" t="s">
        <v>6</v>
      </c>
      <c r="F755" s="7">
        <v>45193</v>
      </c>
      <c r="G755" s="2">
        <v>52</v>
      </c>
      <c r="H755" s="2">
        <v>3.9</v>
      </c>
    </row>
    <row r="756" spans="2:8" x14ac:dyDescent="0.25">
      <c r="B756" s="2" t="s">
        <v>778</v>
      </c>
      <c r="C756" s="2" t="s">
        <v>15</v>
      </c>
      <c r="D756" s="2">
        <v>107</v>
      </c>
      <c r="E756" s="3" t="s">
        <v>6</v>
      </c>
      <c r="F756" s="7">
        <v>45193</v>
      </c>
      <c r="G756" s="2">
        <v>60</v>
      </c>
      <c r="H756" s="2">
        <v>4.2</v>
      </c>
    </row>
    <row r="757" spans="2:8" x14ac:dyDescent="0.25">
      <c r="B757" s="2" t="s">
        <v>779</v>
      </c>
      <c r="C757" s="2" t="s">
        <v>8</v>
      </c>
      <c r="D757" s="2">
        <v>67</v>
      </c>
      <c r="E757" s="3" t="s">
        <v>11</v>
      </c>
      <c r="F757" s="7">
        <v>45194</v>
      </c>
      <c r="G757" s="2">
        <v>87</v>
      </c>
      <c r="H757" s="2">
        <v>3.9</v>
      </c>
    </row>
    <row r="758" spans="2:8" x14ac:dyDescent="0.25">
      <c r="B758" s="2" t="s">
        <v>780</v>
      </c>
      <c r="C758" s="2" t="s">
        <v>24</v>
      </c>
      <c r="D758" s="2">
        <v>96</v>
      </c>
      <c r="E758" s="3" t="s">
        <v>10</v>
      </c>
      <c r="F758" s="7">
        <v>45195</v>
      </c>
      <c r="G758" s="2">
        <v>42</v>
      </c>
      <c r="H758" s="2">
        <v>4.5</v>
      </c>
    </row>
    <row r="759" spans="2:8" x14ac:dyDescent="0.25">
      <c r="B759" s="2" t="s">
        <v>781</v>
      </c>
      <c r="C759" s="2" t="s">
        <v>7</v>
      </c>
      <c r="D759" s="2">
        <v>142</v>
      </c>
      <c r="E759" s="3" t="s">
        <v>9</v>
      </c>
      <c r="F759" s="7">
        <v>45196</v>
      </c>
      <c r="G759" s="2">
        <v>37</v>
      </c>
      <c r="H759" s="2">
        <v>3.8</v>
      </c>
    </row>
    <row r="760" spans="2:8" x14ac:dyDescent="0.25">
      <c r="B760" s="2" t="s">
        <v>782</v>
      </c>
      <c r="C760" s="2" t="s">
        <v>7</v>
      </c>
      <c r="D760" s="2">
        <v>71</v>
      </c>
      <c r="E760" s="3" t="s">
        <v>13</v>
      </c>
      <c r="F760" s="7">
        <v>45196</v>
      </c>
      <c r="G760" s="2">
        <v>135</v>
      </c>
      <c r="H760" s="2">
        <v>3.9</v>
      </c>
    </row>
    <row r="761" spans="2:8" x14ac:dyDescent="0.25">
      <c r="B761" s="2" t="s">
        <v>783</v>
      </c>
      <c r="C761" s="2" t="s">
        <v>24</v>
      </c>
      <c r="D761" s="2">
        <v>152</v>
      </c>
      <c r="E761" s="3" t="s">
        <v>13</v>
      </c>
      <c r="F761" s="7">
        <v>45196</v>
      </c>
      <c r="G761" s="2">
        <v>88</v>
      </c>
      <c r="H761" s="2">
        <v>4.7</v>
      </c>
    </row>
    <row r="762" spans="2:8" x14ac:dyDescent="0.25">
      <c r="B762" s="2" t="s">
        <v>784</v>
      </c>
      <c r="C762" s="2" t="s">
        <v>17</v>
      </c>
      <c r="D762" s="2">
        <v>108</v>
      </c>
      <c r="E762" s="3" t="s">
        <v>9</v>
      </c>
      <c r="F762" s="7">
        <v>45196</v>
      </c>
      <c r="G762" s="2">
        <v>190</v>
      </c>
      <c r="H762" s="2">
        <v>3.2</v>
      </c>
    </row>
    <row r="763" spans="2:8" x14ac:dyDescent="0.25">
      <c r="B763" s="2" t="s">
        <v>785</v>
      </c>
      <c r="C763" s="2" t="s">
        <v>17</v>
      </c>
      <c r="D763" s="2">
        <v>156</v>
      </c>
      <c r="E763" s="3" t="s">
        <v>13</v>
      </c>
      <c r="F763" s="7">
        <v>45196</v>
      </c>
      <c r="G763" s="2">
        <v>81</v>
      </c>
      <c r="H763" s="2">
        <v>5</v>
      </c>
    </row>
    <row r="764" spans="2:8" x14ac:dyDescent="0.25">
      <c r="B764" s="2" t="s">
        <v>786</v>
      </c>
      <c r="C764" s="2" t="s">
        <v>7</v>
      </c>
      <c r="D764" s="2">
        <v>126</v>
      </c>
      <c r="E764" s="3" t="s">
        <v>9</v>
      </c>
      <c r="F764" s="7">
        <v>45196</v>
      </c>
      <c r="G764" s="2">
        <v>44</v>
      </c>
      <c r="H764" s="2">
        <v>3.7</v>
      </c>
    </row>
    <row r="765" spans="2:8" x14ac:dyDescent="0.25">
      <c r="B765" s="2" t="s">
        <v>787</v>
      </c>
      <c r="C765" s="2" t="s">
        <v>23</v>
      </c>
      <c r="D765" s="2">
        <v>135</v>
      </c>
      <c r="E765" s="3" t="s">
        <v>13</v>
      </c>
      <c r="F765" s="7">
        <v>45197</v>
      </c>
      <c r="G765" s="2">
        <v>92</v>
      </c>
      <c r="H765" s="2">
        <v>3.9</v>
      </c>
    </row>
    <row r="766" spans="2:8" x14ac:dyDescent="0.25">
      <c r="B766" s="2" t="s">
        <v>788</v>
      </c>
      <c r="C766" s="2" t="s">
        <v>7</v>
      </c>
      <c r="D766" s="2">
        <v>110</v>
      </c>
      <c r="E766" s="3" t="s">
        <v>10</v>
      </c>
      <c r="F766" s="7">
        <v>45198</v>
      </c>
      <c r="G766" s="2">
        <v>90</v>
      </c>
      <c r="H766" s="2">
        <v>3.1</v>
      </c>
    </row>
    <row r="767" spans="2:8" x14ac:dyDescent="0.25">
      <c r="B767" s="2" t="s">
        <v>789</v>
      </c>
      <c r="C767" s="2" t="s">
        <v>19</v>
      </c>
      <c r="D767" s="2">
        <v>64</v>
      </c>
      <c r="E767" s="3" t="s">
        <v>13</v>
      </c>
      <c r="F767" s="7">
        <v>45198</v>
      </c>
      <c r="G767" s="2">
        <v>112</v>
      </c>
      <c r="H767" s="2">
        <v>2</v>
      </c>
    </row>
    <row r="768" spans="2:8" x14ac:dyDescent="0.25">
      <c r="B768" s="2" t="s">
        <v>790</v>
      </c>
      <c r="C768" s="2" t="s">
        <v>22</v>
      </c>
      <c r="D768" s="2">
        <v>127</v>
      </c>
      <c r="E768" s="3" t="s">
        <v>9</v>
      </c>
      <c r="F768" s="7">
        <v>45198</v>
      </c>
      <c r="G768" s="2">
        <v>112</v>
      </c>
      <c r="H768" s="2">
        <v>4.5999999999999996</v>
      </c>
    </row>
    <row r="769" spans="2:8" x14ac:dyDescent="0.25">
      <c r="B769" s="2" t="s">
        <v>791</v>
      </c>
      <c r="C769" s="2" t="s">
        <v>5</v>
      </c>
      <c r="D769" s="2">
        <v>124</v>
      </c>
      <c r="E769" s="3" t="s">
        <v>11</v>
      </c>
      <c r="F769" s="7">
        <v>45198</v>
      </c>
      <c r="G769" s="2">
        <v>48</v>
      </c>
      <c r="H769" s="2">
        <v>3.7</v>
      </c>
    </row>
    <row r="770" spans="2:8" x14ac:dyDescent="0.25">
      <c r="B770" s="2" t="s">
        <v>792</v>
      </c>
      <c r="C770" s="2" t="s">
        <v>19</v>
      </c>
      <c r="D770" s="2">
        <v>125</v>
      </c>
      <c r="E770" s="3" t="s">
        <v>9</v>
      </c>
      <c r="F770" s="7">
        <v>45198</v>
      </c>
      <c r="G770" s="2">
        <v>116</v>
      </c>
      <c r="H770" s="2">
        <v>4.4000000000000004</v>
      </c>
    </row>
    <row r="771" spans="2:8" x14ac:dyDescent="0.25">
      <c r="B771" s="2" t="s">
        <v>793</v>
      </c>
      <c r="C771" s="2" t="s">
        <v>12</v>
      </c>
      <c r="D771" s="2">
        <v>70</v>
      </c>
      <c r="E771" s="3" t="s">
        <v>9</v>
      </c>
      <c r="F771" s="7">
        <v>45198</v>
      </c>
      <c r="G771" s="2">
        <v>29</v>
      </c>
      <c r="H771" s="2">
        <v>2.1</v>
      </c>
    </row>
    <row r="772" spans="2:8" x14ac:dyDescent="0.25">
      <c r="B772" s="2" t="s">
        <v>794</v>
      </c>
      <c r="C772" s="2" t="s">
        <v>22</v>
      </c>
      <c r="D772" s="2">
        <v>93</v>
      </c>
      <c r="E772" s="3" t="s">
        <v>13</v>
      </c>
      <c r="F772" s="7">
        <v>45199</v>
      </c>
      <c r="G772" s="2">
        <v>170</v>
      </c>
      <c r="H772" s="2">
        <v>2.2000000000000002</v>
      </c>
    </row>
    <row r="773" spans="2:8" x14ac:dyDescent="0.25">
      <c r="B773" s="2" t="s">
        <v>795</v>
      </c>
      <c r="C773" s="2" t="s">
        <v>12</v>
      </c>
      <c r="D773" s="2">
        <v>120</v>
      </c>
      <c r="E773" s="3" t="s">
        <v>6</v>
      </c>
      <c r="F773" s="7">
        <v>45199</v>
      </c>
      <c r="G773" s="2">
        <v>68</v>
      </c>
      <c r="H773" s="2">
        <v>3.4</v>
      </c>
    </row>
    <row r="774" spans="2:8" x14ac:dyDescent="0.25">
      <c r="B774" s="2" t="s">
        <v>796</v>
      </c>
      <c r="C774" s="2" t="s">
        <v>8</v>
      </c>
      <c r="D774" s="2">
        <v>96</v>
      </c>
      <c r="E774" s="3" t="s">
        <v>10</v>
      </c>
      <c r="F774" s="7">
        <v>45199</v>
      </c>
      <c r="G774" s="2">
        <v>195</v>
      </c>
      <c r="H774" s="2">
        <v>2.7</v>
      </c>
    </row>
    <row r="775" spans="2:8" x14ac:dyDescent="0.25">
      <c r="B775" s="2" t="s">
        <v>797</v>
      </c>
      <c r="C775" s="2" t="s">
        <v>21</v>
      </c>
      <c r="D775" s="2">
        <v>67</v>
      </c>
      <c r="E775" s="3" t="s">
        <v>10</v>
      </c>
      <c r="F775" s="7">
        <v>45199</v>
      </c>
      <c r="G775" s="2">
        <v>96</v>
      </c>
      <c r="H775" s="2">
        <v>3.7</v>
      </c>
    </row>
    <row r="776" spans="2:8" x14ac:dyDescent="0.25">
      <c r="B776" s="2" t="s">
        <v>798</v>
      </c>
      <c r="C776" s="2" t="s">
        <v>19</v>
      </c>
      <c r="D776" s="2">
        <v>119</v>
      </c>
      <c r="E776" s="3" t="s">
        <v>10</v>
      </c>
      <c r="F776" s="7">
        <v>45199</v>
      </c>
      <c r="G776" s="2">
        <v>96</v>
      </c>
      <c r="H776" s="2">
        <v>3.1</v>
      </c>
    </row>
    <row r="777" spans="2:8" x14ac:dyDescent="0.25">
      <c r="B777" s="2" t="s">
        <v>799</v>
      </c>
      <c r="C777" s="2" t="s">
        <v>5</v>
      </c>
      <c r="D777" s="2">
        <v>61</v>
      </c>
      <c r="E777" s="3" t="s">
        <v>11</v>
      </c>
      <c r="F777" s="7">
        <v>45199</v>
      </c>
      <c r="G777" s="2">
        <v>117</v>
      </c>
      <c r="H777" s="2">
        <v>4.0999999999999996</v>
      </c>
    </row>
    <row r="778" spans="2:8" x14ac:dyDescent="0.25">
      <c r="B778" s="2" t="s">
        <v>800</v>
      </c>
      <c r="C778" s="2" t="s">
        <v>8</v>
      </c>
      <c r="D778" s="2">
        <v>29</v>
      </c>
      <c r="E778" s="3" t="s">
        <v>13</v>
      </c>
      <c r="F778" s="7">
        <v>45199</v>
      </c>
      <c r="G778" s="2">
        <v>80</v>
      </c>
      <c r="H778" s="2">
        <v>4.8</v>
      </c>
    </row>
    <row r="779" spans="2:8" x14ac:dyDescent="0.25">
      <c r="B779" s="2" t="s">
        <v>801</v>
      </c>
      <c r="C779" s="2" t="s">
        <v>24</v>
      </c>
      <c r="D779" s="2">
        <v>134</v>
      </c>
      <c r="E779" s="3" t="s">
        <v>6</v>
      </c>
      <c r="F779" s="7">
        <v>45199</v>
      </c>
      <c r="G779" s="2">
        <v>117</v>
      </c>
      <c r="H779" s="2">
        <v>4</v>
      </c>
    </row>
    <row r="780" spans="2:8" x14ac:dyDescent="0.25">
      <c r="B780" s="2" t="s">
        <v>802</v>
      </c>
      <c r="C780" s="2" t="s">
        <v>7</v>
      </c>
      <c r="D780" s="2">
        <v>113</v>
      </c>
      <c r="E780" s="3" t="s">
        <v>10</v>
      </c>
      <c r="F780" s="7">
        <v>45200</v>
      </c>
      <c r="G780" s="2">
        <v>40</v>
      </c>
      <c r="H780" s="2">
        <v>3</v>
      </c>
    </row>
    <row r="781" spans="2:8" x14ac:dyDescent="0.25">
      <c r="B781" s="2" t="s">
        <v>803</v>
      </c>
      <c r="C781" s="2" t="s">
        <v>17</v>
      </c>
      <c r="D781" s="2">
        <v>12</v>
      </c>
      <c r="E781" s="3" t="s">
        <v>6</v>
      </c>
      <c r="F781" s="7">
        <v>45200</v>
      </c>
      <c r="G781" s="2">
        <v>117</v>
      </c>
      <c r="H781" s="2">
        <v>4.8</v>
      </c>
    </row>
    <row r="782" spans="2:8" x14ac:dyDescent="0.25">
      <c r="B782" s="2" t="s">
        <v>804</v>
      </c>
      <c r="C782" s="2" t="s">
        <v>14</v>
      </c>
      <c r="D782" s="2">
        <v>78</v>
      </c>
      <c r="E782" s="3" t="s">
        <v>13</v>
      </c>
      <c r="F782" s="7">
        <v>45200</v>
      </c>
      <c r="G782" s="2">
        <v>135</v>
      </c>
      <c r="H782" s="2">
        <v>4.0999999999999996</v>
      </c>
    </row>
    <row r="783" spans="2:8" x14ac:dyDescent="0.25">
      <c r="B783" s="2" t="s">
        <v>805</v>
      </c>
      <c r="C783" s="2" t="s">
        <v>19</v>
      </c>
      <c r="D783" s="2">
        <v>82</v>
      </c>
      <c r="E783" s="3" t="s">
        <v>9</v>
      </c>
      <c r="F783" s="7">
        <v>45200</v>
      </c>
      <c r="G783" s="2">
        <v>99</v>
      </c>
      <c r="H783" s="2">
        <v>4.2</v>
      </c>
    </row>
    <row r="784" spans="2:8" x14ac:dyDescent="0.25">
      <c r="B784" s="2" t="s">
        <v>806</v>
      </c>
      <c r="C784" s="2" t="s">
        <v>18</v>
      </c>
      <c r="D784" s="2">
        <v>149</v>
      </c>
      <c r="E784" s="3" t="s">
        <v>11</v>
      </c>
      <c r="F784" s="7">
        <v>45200</v>
      </c>
      <c r="G784" s="2">
        <v>130</v>
      </c>
      <c r="H784" s="2">
        <v>3.3</v>
      </c>
    </row>
    <row r="785" spans="2:8" x14ac:dyDescent="0.25">
      <c r="B785" s="2" t="s">
        <v>807</v>
      </c>
      <c r="C785" s="2" t="s">
        <v>15</v>
      </c>
      <c r="D785" s="2">
        <v>56</v>
      </c>
      <c r="E785" s="3" t="s">
        <v>6</v>
      </c>
      <c r="F785" s="7">
        <v>45200</v>
      </c>
      <c r="G785" s="2">
        <v>96</v>
      </c>
      <c r="H785" s="2">
        <v>4.7</v>
      </c>
    </row>
    <row r="786" spans="2:8" x14ac:dyDescent="0.25">
      <c r="B786" s="2" t="s">
        <v>808</v>
      </c>
      <c r="C786" s="2" t="s">
        <v>8</v>
      </c>
      <c r="D786" s="2">
        <v>80</v>
      </c>
      <c r="E786" s="3" t="s">
        <v>11</v>
      </c>
      <c r="F786" s="7">
        <v>45200</v>
      </c>
      <c r="G786" s="2">
        <v>128</v>
      </c>
      <c r="H786" s="2">
        <v>3.7</v>
      </c>
    </row>
    <row r="787" spans="2:8" x14ac:dyDescent="0.25">
      <c r="B787" s="2" t="s">
        <v>809</v>
      </c>
      <c r="C787" s="2" t="s">
        <v>5</v>
      </c>
      <c r="D787" s="2">
        <v>131</v>
      </c>
      <c r="E787" s="3" t="s">
        <v>10</v>
      </c>
      <c r="F787" s="7">
        <v>45200</v>
      </c>
      <c r="G787" s="2">
        <v>69</v>
      </c>
      <c r="H787" s="2">
        <v>4.7</v>
      </c>
    </row>
    <row r="788" spans="2:8" x14ac:dyDescent="0.25">
      <c r="B788" s="2" t="s">
        <v>810</v>
      </c>
      <c r="C788" s="2" t="s">
        <v>5</v>
      </c>
      <c r="D788" s="2">
        <v>109</v>
      </c>
      <c r="E788" s="3" t="s">
        <v>10</v>
      </c>
      <c r="F788" s="7">
        <v>45200</v>
      </c>
      <c r="G788" s="2">
        <v>44</v>
      </c>
      <c r="H788" s="2">
        <v>4.5999999999999996</v>
      </c>
    </row>
    <row r="789" spans="2:8" x14ac:dyDescent="0.25">
      <c r="B789" s="2" t="s">
        <v>811</v>
      </c>
      <c r="C789" s="2" t="s">
        <v>15</v>
      </c>
      <c r="D789" s="2">
        <v>142</v>
      </c>
      <c r="E789" s="3" t="s">
        <v>10</v>
      </c>
      <c r="F789" s="7">
        <v>45200</v>
      </c>
      <c r="G789" s="2">
        <v>44</v>
      </c>
      <c r="H789" s="2">
        <v>4.8</v>
      </c>
    </row>
    <row r="790" spans="2:8" x14ac:dyDescent="0.25">
      <c r="B790" s="2" t="s">
        <v>812</v>
      </c>
      <c r="C790" s="2" t="s">
        <v>22</v>
      </c>
      <c r="D790" s="2">
        <v>114</v>
      </c>
      <c r="E790" s="3" t="s">
        <v>6</v>
      </c>
      <c r="F790" s="7">
        <v>45201</v>
      </c>
      <c r="G790" s="2">
        <v>135</v>
      </c>
      <c r="H790" s="2">
        <v>2</v>
      </c>
    </row>
    <row r="791" spans="2:8" x14ac:dyDescent="0.25">
      <c r="B791" s="2" t="s">
        <v>813</v>
      </c>
      <c r="C791" s="2" t="s">
        <v>21</v>
      </c>
      <c r="D791" s="2">
        <v>93</v>
      </c>
      <c r="E791" s="3" t="s">
        <v>11</v>
      </c>
      <c r="F791" s="7">
        <v>45201</v>
      </c>
      <c r="G791" s="2">
        <v>45</v>
      </c>
      <c r="H791" s="2">
        <v>3.9</v>
      </c>
    </row>
    <row r="792" spans="2:8" x14ac:dyDescent="0.25">
      <c r="B792" s="2" t="s">
        <v>814</v>
      </c>
      <c r="C792" s="2" t="s">
        <v>17</v>
      </c>
      <c r="D792" s="2">
        <v>43</v>
      </c>
      <c r="E792" s="3" t="s">
        <v>11</v>
      </c>
      <c r="F792" s="7">
        <v>45201</v>
      </c>
      <c r="G792" s="2">
        <v>87</v>
      </c>
      <c r="H792" s="2">
        <v>3</v>
      </c>
    </row>
    <row r="793" spans="2:8" x14ac:dyDescent="0.25">
      <c r="B793" s="2" t="s">
        <v>815</v>
      </c>
      <c r="C793" s="2" t="s">
        <v>24</v>
      </c>
      <c r="D793" s="2">
        <v>78</v>
      </c>
      <c r="E793" s="3" t="s">
        <v>13</v>
      </c>
      <c r="F793" s="7">
        <v>45202</v>
      </c>
      <c r="G793" s="2">
        <v>84</v>
      </c>
      <c r="H793" s="2">
        <v>4.5999999999999996</v>
      </c>
    </row>
    <row r="794" spans="2:8" x14ac:dyDescent="0.25">
      <c r="B794" s="2" t="s">
        <v>816</v>
      </c>
      <c r="C794" s="2" t="s">
        <v>22</v>
      </c>
      <c r="D794" s="2">
        <v>89</v>
      </c>
      <c r="E794" s="3" t="s">
        <v>10</v>
      </c>
      <c r="F794" s="7">
        <v>45202</v>
      </c>
      <c r="G794" s="2">
        <v>81</v>
      </c>
      <c r="H794" s="2">
        <v>3.8</v>
      </c>
    </row>
    <row r="795" spans="2:8" x14ac:dyDescent="0.25">
      <c r="B795" s="2" t="s">
        <v>817</v>
      </c>
      <c r="C795" s="2" t="s">
        <v>15</v>
      </c>
      <c r="D795" s="2">
        <v>82</v>
      </c>
      <c r="E795" s="3" t="s">
        <v>9</v>
      </c>
      <c r="F795" s="7">
        <v>45202</v>
      </c>
      <c r="G795" s="2">
        <v>130</v>
      </c>
      <c r="H795" s="2">
        <v>4.4000000000000004</v>
      </c>
    </row>
    <row r="796" spans="2:8" x14ac:dyDescent="0.25">
      <c r="B796" s="2" t="s">
        <v>818</v>
      </c>
      <c r="C796" s="2" t="s">
        <v>8</v>
      </c>
      <c r="D796" s="2">
        <v>86</v>
      </c>
      <c r="E796" s="3" t="s">
        <v>10</v>
      </c>
      <c r="F796" s="7">
        <v>45203</v>
      </c>
      <c r="G796" s="2">
        <v>92</v>
      </c>
      <c r="H796" s="2">
        <v>2.4</v>
      </c>
    </row>
    <row r="797" spans="2:8" x14ac:dyDescent="0.25">
      <c r="B797" s="2" t="s">
        <v>819</v>
      </c>
      <c r="C797" s="2" t="s">
        <v>16</v>
      </c>
      <c r="D797" s="2">
        <v>57</v>
      </c>
      <c r="E797" s="3" t="s">
        <v>13</v>
      </c>
      <c r="F797" s="7">
        <v>45203</v>
      </c>
      <c r="G797" s="2">
        <v>48</v>
      </c>
      <c r="H797" s="2">
        <v>4.5</v>
      </c>
    </row>
    <row r="798" spans="2:8" x14ac:dyDescent="0.25">
      <c r="B798" s="2" t="s">
        <v>820</v>
      </c>
      <c r="C798" s="2" t="s">
        <v>21</v>
      </c>
      <c r="D798" s="2">
        <v>103</v>
      </c>
      <c r="E798" s="3" t="s">
        <v>6</v>
      </c>
      <c r="F798" s="7">
        <v>45203</v>
      </c>
      <c r="G798" s="2">
        <v>160</v>
      </c>
      <c r="H798" s="2">
        <v>4.5</v>
      </c>
    </row>
    <row r="799" spans="2:8" x14ac:dyDescent="0.25">
      <c r="B799" s="2" t="s">
        <v>821</v>
      </c>
      <c r="C799" s="2" t="s">
        <v>14</v>
      </c>
      <c r="D799" s="2">
        <v>138</v>
      </c>
      <c r="E799" s="3" t="s">
        <v>13</v>
      </c>
      <c r="F799" s="7">
        <v>45204</v>
      </c>
      <c r="G799" s="2">
        <v>155</v>
      </c>
      <c r="H799" s="2">
        <v>2.7</v>
      </c>
    </row>
    <row r="800" spans="2:8" x14ac:dyDescent="0.25">
      <c r="B800" s="2" t="s">
        <v>822</v>
      </c>
      <c r="C800" s="2" t="s">
        <v>18</v>
      </c>
      <c r="D800" s="2">
        <v>88</v>
      </c>
      <c r="E800" s="3" t="s">
        <v>9</v>
      </c>
      <c r="F800" s="7">
        <v>45204</v>
      </c>
      <c r="G800" s="2">
        <v>100</v>
      </c>
      <c r="H800" s="2">
        <v>4.9000000000000004</v>
      </c>
    </row>
    <row r="801" spans="2:8" x14ac:dyDescent="0.25">
      <c r="B801" s="2" t="s">
        <v>823</v>
      </c>
      <c r="C801" s="2" t="s">
        <v>22</v>
      </c>
      <c r="D801" s="2">
        <v>118</v>
      </c>
      <c r="E801" s="3" t="s">
        <v>11</v>
      </c>
      <c r="F801" s="7">
        <v>45204</v>
      </c>
      <c r="G801" s="2">
        <v>56</v>
      </c>
      <c r="H801" s="2">
        <v>3.7</v>
      </c>
    </row>
    <row r="802" spans="2:8" x14ac:dyDescent="0.25">
      <c r="B802" s="2" t="s">
        <v>824</v>
      </c>
      <c r="C802" s="2" t="s">
        <v>8</v>
      </c>
      <c r="D802" s="2">
        <v>4</v>
      </c>
      <c r="E802" s="3" t="s">
        <v>10</v>
      </c>
      <c r="F802" s="7">
        <v>45204</v>
      </c>
      <c r="G802" s="2">
        <v>170</v>
      </c>
      <c r="H802" s="2">
        <v>3.9</v>
      </c>
    </row>
    <row r="803" spans="2:8" x14ac:dyDescent="0.25">
      <c r="B803" s="2" t="s">
        <v>825</v>
      </c>
      <c r="C803" s="2" t="s">
        <v>17</v>
      </c>
      <c r="D803" s="2">
        <v>78</v>
      </c>
      <c r="E803" s="3" t="s">
        <v>6</v>
      </c>
      <c r="F803" s="7">
        <v>45205</v>
      </c>
      <c r="G803" s="2">
        <v>74</v>
      </c>
      <c r="H803" s="2">
        <v>3.5</v>
      </c>
    </row>
    <row r="804" spans="2:8" x14ac:dyDescent="0.25">
      <c r="B804" s="2" t="s">
        <v>826</v>
      </c>
      <c r="C804" s="2" t="s">
        <v>7</v>
      </c>
      <c r="D804" s="2">
        <v>69</v>
      </c>
      <c r="E804" s="3" t="s">
        <v>10</v>
      </c>
      <c r="F804" s="7">
        <v>45205</v>
      </c>
      <c r="G804" s="2">
        <v>99</v>
      </c>
      <c r="H804" s="2">
        <v>2.7</v>
      </c>
    </row>
    <row r="805" spans="2:8" x14ac:dyDescent="0.25">
      <c r="B805" s="2" t="s">
        <v>827</v>
      </c>
      <c r="C805" s="2" t="s">
        <v>15</v>
      </c>
      <c r="D805" s="2">
        <v>90</v>
      </c>
      <c r="E805" s="3" t="s">
        <v>13</v>
      </c>
      <c r="F805" s="7">
        <v>45205</v>
      </c>
      <c r="G805" s="2">
        <v>84</v>
      </c>
      <c r="H805" s="2">
        <v>3.9</v>
      </c>
    </row>
    <row r="806" spans="2:8" x14ac:dyDescent="0.25">
      <c r="B806" s="2" t="s">
        <v>828</v>
      </c>
      <c r="C806" s="2" t="s">
        <v>7</v>
      </c>
      <c r="D806" s="2">
        <v>134</v>
      </c>
      <c r="E806" s="3" t="s">
        <v>10</v>
      </c>
      <c r="F806" s="7">
        <v>45205</v>
      </c>
      <c r="G806" s="2">
        <v>35</v>
      </c>
      <c r="H806" s="2">
        <v>3.4</v>
      </c>
    </row>
    <row r="807" spans="2:8" x14ac:dyDescent="0.25">
      <c r="B807" s="2" t="s">
        <v>829</v>
      </c>
      <c r="C807" s="2" t="s">
        <v>12</v>
      </c>
      <c r="D807" s="2">
        <v>65</v>
      </c>
      <c r="E807" s="3" t="s">
        <v>11</v>
      </c>
      <c r="F807" s="7">
        <v>45205</v>
      </c>
      <c r="G807" s="2">
        <v>150</v>
      </c>
      <c r="H807" s="2">
        <v>5</v>
      </c>
    </row>
    <row r="808" spans="2:8" x14ac:dyDescent="0.25">
      <c r="B808" s="2" t="s">
        <v>830</v>
      </c>
      <c r="C808" s="2" t="s">
        <v>23</v>
      </c>
      <c r="D808" s="2">
        <v>54</v>
      </c>
      <c r="E808" s="3" t="s">
        <v>6</v>
      </c>
      <c r="F808" s="7">
        <v>45206</v>
      </c>
      <c r="G808" s="2">
        <v>176</v>
      </c>
      <c r="H808" s="2">
        <v>4.4000000000000004</v>
      </c>
    </row>
    <row r="809" spans="2:8" x14ac:dyDescent="0.25">
      <c r="B809" s="2" t="s">
        <v>831</v>
      </c>
      <c r="C809" s="2" t="s">
        <v>23</v>
      </c>
      <c r="D809" s="2">
        <v>90</v>
      </c>
      <c r="E809" s="3" t="s">
        <v>6</v>
      </c>
      <c r="F809" s="7">
        <v>45206</v>
      </c>
      <c r="G809" s="2">
        <v>84</v>
      </c>
      <c r="H809" s="2">
        <v>4.3</v>
      </c>
    </row>
    <row r="810" spans="2:8" x14ac:dyDescent="0.25">
      <c r="B810" s="2" t="s">
        <v>832</v>
      </c>
      <c r="C810" s="2" t="s">
        <v>15</v>
      </c>
      <c r="D810" s="2">
        <v>66</v>
      </c>
      <c r="E810" s="3" t="s">
        <v>6</v>
      </c>
      <c r="F810" s="7">
        <v>45206</v>
      </c>
      <c r="G810" s="2">
        <v>136</v>
      </c>
      <c r="H810" s="2">
        <v>4.7</v>
      </c>
    </row>
    <row r="811" spans="2:8" x14ac:dyDescent="0.25">
      <c r="B811" s="2" t="s">
        <v>833</v>
      </c>
      <c r="C811" s="2" t="s">
        <v>8</v>
      </c>
      <c r="D811" s="2">
        <v>150</v>
      </c>
      <c r="E811" s="3" t="s">
        <v>6</v>
      </c>
      <c r="F811" s="7">
        <v>45207</v>
      </c>
      <c r="G811" s="2">
        <v>70</v>
      </c>
      <c r="H811" s="2">
        <v>4.0999999999999996</v>
      </c>
    </row>
    <row r="812" spans="2:8" x14ac:dyDescent="0.25">
      <c r="B812" s="2" t="s">
        <v>834</v>
      </c>
      <c r="C812" s="2" t="s">
        <v>24</v>
      </c>
      <c r="D812" s="2">
        <v>18</v>
      </c>
      <c r="E812" s="3" t="s">
        <v>11</v>
      </c>
      <c r="F812" s="7">
        <v>45207</v>
      </c>
      <c r="G812" s="2">
        <v>96</v>
      </c>
      <c r="H812" s="2">
        <v>4.8</v>
      </c>
    </row>
    <row r="813" spans="2:8" x14ac:dyDescent="0.25">
      <c r="B813" s="2" t="s">
        <v>835</v>
      </c>
      <c r="C813" s="2" t="s">
        <v>23</v>
      </c>
      <c r="D813" s="2">
        <v>87</v>
      </c>
      <c r="E813" s="3" t="s">
        <v>11</v>
      </c>
      <c r="F813" s="7">
        <v>45207</v>
      </c>
      <c r="G813" s="2">
        <v>23</v>
      </c>
      <c r="H813" s="2">
        <v>4.2</v>
      </c>
    </row>
    <row r="814" spans="2:8" x14ac:dyDescent="0.25">
      <c r="B814" s="2" t="s">
        <v>836</v>
      </c>
      <c r="C814" s="2" t="s">
        <v>14</v>
      </c>
      <c r="D814" s="2">
        <v>94</v>
      </c>
      <c r="E814" s="3" t="s">
        <v>6</v>
      </c>
      <c r="F814" s="7">
        <v>45208</v>
      </c>
      <c r="G814" s="2">
        <v>120</v>
      </c>
      <c r="H814" s="2">
        <v>3.4</v>
      </c>
    </row>
    <row r="815" spans="2:8" x14ac:dyDescent="0.25">
      <c r="B815" s="2" t="s">
        <v>837</v>
      </c>
      <c r="C815" s="2" t="s">
        <v>16</v>
      </c>
      <c r="D815" s="2">
        <v>56</v>
      </c>
      <c r="E815" s="3" t="s">
        <v>6</v>
      </c>
      <c r="F815" s="7">
        <v>45208</v>
      </c>
      <c r="G815" s="2">
        <v>205</v>
      </c>
      <c r="H815" s="2">
        <v>3.3</v>
      </c>
    </row>
    <row r="816" spans="2:8" x14ac:dyDescent="0.25">
      <c r="B816" s="2" t="s">
        <v>838</v>
      </c>
      <c r="C816" s="2" t="s">
        <v>22</v>
      </c>
      <c r="D816" s="2">
        <v>41</v>
      </c>
      <c r="E816" s="3" t="s">
        <v>9</v>
      </c>
      <c r="F816" s="7">
        <v>45209</v>
      </c>
      <c r="G816" s="2">
        <v>42</v>
      </c>
      <c r="H816" s="2">
        <v>3.8</v>
      </c>
    </row>
    <row r="817" spans="2:8" x14ac:dyDescent="0.25">
      <c r="B817" s="2" t="s">
        <v>839</v>
      </c>
      <c r="C817" s="2" t="s">
        <v>8</v>
      </c>
      <c r="D817" s="2">
        <v>119</v>
      </c>
      <c r="E817" s="3" t="s">
        <v>13</v>
      </c>
      <c r="F817" s="7">
        <v>45209</v>
      </c>
      <c r="G817" s="2">
        <v>111</v>
      </c>
      <c r="H817" s="2">
        <v>3.9</v>
      </c>
    </row>
    <row r="818" spans="2:8" x14ac:dyDescent="0.25">
      <c r="B818" s="2" t="s">
        <v>840</v>
      </c>
      <c r="C818" s="2" t="s">
        <v>21</v>
      </c>
      <c r="D818" s="2">
        <v>108</v>
      </c>
      <c r="E818" s="3" t="s">
        <v>6</v>
      </c>
      <c r="F818" s="7">
        <v>45209</v>
      </c>
      <c r="G818" s="2">
        <v>68</v>
      </c>
      <c r="H818" s="2">
        <v>2.5</v>
      </c>
    </row>
    <row r="819" spans="2:8" x14ac:dyDescent="0.25">
      <c r="B819" s="2" t="s">
        <v>841</v>
      </c>
      <c r="C819" s="2" t="s">
        <v>17</v>
      </c>
      <c r="D819" s="2">
        <v>63</v>
      </c>
      <c r="E819" s="3" t="s">
        <v>10</v>
      </c>
      <c r="F819" s="7">
        <v>45209</v>
      </c>
      <c r="G819" s="2">
        <v>172</v>
      </c>
      <c r="H819" s="2">
        <v>4.9000000000000004</v>
      </c>
    </row>
    <row r="820" spans="2:8" x14ac:dyDescent="0.25">
      <c r="B820" s="2" t="s">
        <v>842</v>
      </c>
      <c r="C820" s="2" t="s">
        <v>19</v>
      </c>
      <c r="D820" s="2">
        <v>59</v>
      </c>
      <c r="E820" s="3" t="s">
        <v>6</v>
      </c>
      <c r="F820" s="7">
        <v>45209</v>
      </c>
      <c r="G820" s="2">
        <v>152</v>
      </c>
      <c r="H820" s="2">
        <v>4.8</v>
      </c>
    </row>
    <row r="821" spans="2:8" x14ac:dyDescent="0.25">
      <c r="B821" s="2" t="s">
        <v>843</v>
      </c>
      <c r="C821" s="2" t="s">
        <v>19</v>
      </c>
      <c r="D821" s="2">
        <v>90</v>
      </c>
      <c r="E821" s="3" t="s">
        <v>9</v>
      </c>
      <c r="F821" s="7">
        <v>45209</v>
      </c>
      <c r="G821" s="2">
        <v>48</v>
      </c>
      <c r="H821" s="2">
        <v>4.7</v>
      </c>
    </row>
    <row r="822" spans="2:8" x14ac:dyDescent="0.25">
      <c r="B822" s="2" t="s">
        <v>844</v>
      </c>
      <c r="C822" s="2" t="s">
        <v>18</v>
      </c>
      <c r="D822" s="2">
        <v>55</v>
      </c>
      <c r="E822" s="3" t="s">
        <v>9</v>
      </c>
      <c r="F822" s="7">
        <v>45209</v>
      </c>
      <c r="G822" s="2">
        <v>25</v>
      </c>
      <c r="H822" s="2">
        <v>4.7</v>
      </c>
    </row>
    <row r="823" spans="2:8" x14ac:dyDescent="0.25">
      <c r="B823" s="2" t="s">
        <v>845</v>
      </c>
      <c r="C823" s="2" t="s">
        <v>21</v>
      </c>
      <c r="D823" s="2">
        <v>84</v>
      </c>
      <c r="E823" s="3" t="s">
        <v>13</v>
      </c>
      <c r="F823" s="7">
        <v>45210</v>
      </c>
      <c r="G823" s="2">
        <v>54</v>
      </c>
      <c r="H823" s="2">
        <v>3.3</v>
      </c>
    </row>
    <row r="824" spans="2:8" x14ac:dyDescent="0.25">
      <c r="B824" s="2" t="s">
        <v>846</v>
      </c>
      <c r="C824" s="2" t="s">
        <v>21</v>
      </c>
      <c r="D824" s="2">
        <v>150</v>
      </c>
      <c r="E824" s="3" t="s">
        <v>11</v>
      </c>
      <c r="F824" s="7">
        <v>45210</v>
      </c>
      <c r="G824" s="2">
        <v>108</v>
      </c>
      <c r="H824" s="2">
        <v>4.7</v>
      </c>
    </row>
    <row r="825" spans="2:8" x14ac:dyDescent="0.25">
      <c r="B825" s="2" t="s">
        <v>847</v>
      </c>
      <c r="C825" s="2" t="s">
        <v>5</v>
      </c>
      <c r="D825" s="2">
        <v>69</v>
      </c>
      <c r="E825" s="3" t="s">
        <v>6</v>
      </c>
      <c r="F825" s="7">
        <v>45210</v>
      </c>
      <c r="G825" s="2">
        <v>36</v>
      </c>
      <c r="H825" s="2">
        <v>4.5</v>
      </c>
    </row>
    <row r="826" spans="2:8" x14ac:dyDescent="0.25">
      <c r="B826" s="2" t="s">
        <v>848</v>
      </c>
      <c r="C826" s="2" t="s">
        <v>20</v>
      </c>
      <c r="D826" s="2">
        <v>120</v>
      </c>
      <c r="E826" s="3" t="s">
        <v>9</v>
      </c>
      <c r="F826" s="7">
        <v>45211</v>
      </c>
      <c r="G826" s="2">
        <v>140</v>
      </c>
      <c r="H826" s="2">
        <v>4.5999999999999996</v>
      </c>
    </row>
    <row r="827" spans="2:8" x14ac:dyDescent="0.25">
      <c r="B827" s="2" t="s">
        <v>849</v>
      </c>
      <c r="C827" s="2" t="s">
        <v>23</v>
      </c>
      <c r="D827" s="2">
        <v>126</v>
      </c>
      <c r="E827" s="3" t="s">
        <v>13</v>
      </c>
      <c r="F827" s="7">
        <v>45211</v>
      </c>
      <c r="G827" s="2">
        <v>50</v>
      </c>
      <c r="H827" s="2">
        <v>4.8</v>
      </c>
    </row>
    <row r="828" spans="2:8" x14ac:dyDescent="0.25">
      <c r="B828" s="2" t="s">
        <v>850</v>
      </c>
      <c r="C828" s="2" t="s">
        <v>5</v>
      </c>
      <c r="D828" s="2">
        <v>120</v>
      </c>
      <c r="E828" s="3" t="s">
        <v>10</v>
      </c>
      <c r="F828" s="7">
        <v>45211</v>
      </c>
      <c r="G828" s="2">
        <v>195</v>
      </c>
      <c r="H828" s="2">
        <v>4.3</v>
      </c>
    </row>
    <row r="829" spans="2:8" x14ac:dyDescent="0.25">
      <c r="B829" s="2" t="s">
        <v>851</v>
      </c>
      <c r="C829" s="2" t="s">
        <v>23</v>
      </c>
      <c r="D829" s="2">
        <v>139</v>
      </c>
      <c r="E829" s="3" t="s">
        <v>9</v>
      </c>
      <c r="F829" s="7">
        <v>45212</v>
      </c>
      <c r="G829" s="2">
        <v>48</v>
      </c>
      <c r="H829" s="2">
        <v>4.7</v>
      </c>
    </row>
    <row r="830" spans="2:8" x14ac:dyDescent="0.25">
      <c r="B830" s="2" t="s">
        <v>852</v>
      </c>
      <c r="C830" s="2" t="s">
        <v>18</v>
      </c>
      <c r="D830" s="2">
        <v>124</v>
      </c>
      <c r="E830" s="3" t="s">
        <v>6</v>
      </c>
      <c r="F830" s="7">
        <v>45213</v>
      </c>
      <c r="G830" s="2">
        <v>29</v>
      </c>
      <c r="H830" s="2">
        <v>4.8</v>
      </c>
    </row>
    <row r="831" spans="2:8" x14ac:dyDescent="0.25">
      <c r="B831" s="2" t="s">
        <v>853</v>
      </c>
      <c r="C831" s="2" t="s">
        <v>20</v>
      </c>
      <c r="D831" s="2">
        <v>108</v>
      </c>
      <c r="E831" s="3" t="s">
        <v>10</v>
      </c>
      <c r="F831" s="7">
        <v>45213</v>
      </c>
      <c r="G831" s="2">
        <v>44</v>
      </c>
      <c r="H831" s="2">
        <v>4.7</v>
      </c>
    </row>
    <row r="832" spans="2:8" x14ac:dyDescent="0.25">
      <c r="B832" s="2" t="s">
        <v>854</v>
      </c>
      <c r="C832" s="2" t="s">
        <v>12</v>
      </c>
      <c r="D832" s="2">
        <v>132</v>
      </c>
      <c r="E832" s="3" t="s">
        <v>11</v>
      </c>
      <c r="F832" s="7">
        <v>45213</v>
      </c>
      <c r="G832" s="2">
        <v>140</v>
      </c>
      <c r="H832" s="2">
        <v>4.3</v>
      </c>
    </row>
    <row r="833" spans="2:8" x14ac:dyDescent="0.25">
      <c r="B833" s="2" t="s">
        <v>855</v>
      </c>
      <c r="C833" s="2" t="s">
        <v>17</v>
      </c>
      <c r="D833" s="2">
        <v>67</v>
      </c>
      <c r="E833" s="3" t="s">
        <v>11</v>
      </c>
      <c r="F833" s="7">
        <v>45213</v>
      </c>
      <c r="G833" s="2">
        <v>105</v>
      </c>
      <c r="H833" s="2">
        <v>3.8</v>
      </c>
    </row>
    <row r="834" spans="2:8" x14ac:dyDescent="0.25">
      <c r="B834" s="2" t="s">
        <v>856</v>
      </c>
      <c r="C834" s="2" t="s">
        <v>15</v>
      </c>
      <c r="D834" s="2">
        <v>125</v>
      </c>
      <c r="E834" s="3" t="s">
        <v>11</v>
      </c>
      <c r="F834" s="7">
        <v>45213</v>
      </c>
      <c r="G834" s="2">
        <v>82</v>
      </c>
      <c r="H834" s="2">
        <v>4.5999999999999996</v>
      </c>
    </row>
    <row r="835" spans="2:8" x14ac:dyDescent="0.25">
      <c r="B835" s="2" t="s">
        <v>857</v>
      </c>
      <c r="C835" s="2" t="s">
        <v>20</v>
      </c>
      <c r="D835" s="2">
        <v>23</v>
      </c>
      <c r="E835" s="3" t="s">
        <v>10</v>
      </c>
      <c r="F835" s="7">
        <v>45213</v>
      </c>
      <c r="G835" s="2">
        <v>24</v>
      </c>
      <c r="H835" s="2">
        <v>2.9</v>
      </c>
    </row>
    <row r="836" spans="2:8" x14ac:dyDescent="0.25">
      <c r="B836" s="2" t="s">
        <v>858</v>
      </c>
      <c r="C836" s="2" t="s">
        <v>8</v>
      </c>
      <c r="D836" s="2">
        <v>131</v>
      </c>
      <c r="E836" s="3" t="s">
        <v>6</v>
      </c>
      <c r="F836" s="7">
        <v>45214</v>
      </c>
      <c r="G836" s="2">
        <v>205</v>
      </c>
      <c r="H836" s="2">
        <v>4.8</v>
      </c>
    </row>
    <row r="837" spans="2:8" x14ac:dyDescent="0.25">
      <c r="B837" s="2" t="s">
        <v>859</v>
      </c>
      <c r="C837" s="2" t="s">
        <v>12</v>
      </c>
      <c r="D837" s="2">
        <v>56</v>
      </c>
      <c r="E837" s="3" t="s">
        <v>9</v>
      </c>
      <c r="F837" s="7">
        <v>45214</v>
      </c>
      <c r="G837" s="2">
        <v>225</v>
      </c>
      <c r="H837" s="2">
        <v>4.9000000000000004</v>
      </c>
    </row>
    <row r="838" spans="2:8" x14ac:dyDescent="0.25">
      <c r="B838" s="2" t="s">
        <v>860</v>
      </c>
      <c r="C838" s="2" t="s">
        <v>8</v>
      </c>
      <c r="D838" s="2">
        <v>70</v>
      </c>
      <c r="E838" s="3" t="s">
        <v>6</v>
      </c>
      <c r="F838" s="7">
        <v>45214</v>
      </c>
      <c r="G838" s="2">
        <v>50</v>
      </c>
      <c r="H838" s="2">
        <v>3.4</v>
      </c>
    </row>
    <row r="839" spans="2:8" x14ac:dyDescent="0.25">
      <c r="B839" s="2" t="s">
        <v>861</v>
      </c>
      <c r="C839" s="2" t="s">
        <v>8</v>
      </c>
      <c r="D839" s="2">
        <v>55</v>
      </c>
      <c r="E839" s="3" t="s">
        <v>11</v>
      </c>
      <c r="F839" s="7">
        <v>45214</v>
      </c>
      <c r="G839" s="2">
        <v>80</v>
      </c>
      <c r="H839" s="2">
        <v>4.3</v>
      </c>
    </row>
    <row r="840" spans="2:8" x14ac:dyDescent="0.25">
      <c r="B840" s="2" t="s">
        <v>862</v>
      </c>
      <c r="C840" s="2" t="s">
        <v>15</v>
      </c>
      <c r="D840" s="2">
        <v>77</v>
      </c>
      <c r="E840" s="3" t="s">
        <v>9</v>
      </c>
      <c r="F840" s="7">
        <v>45214</v>
      </c>
      <c r="G840" s="2">
        <v>78</v>
      </c>
      <c r="H840" s="2">
        <v>3.9</v>
      </c>
    </row>
    <row r="841" spans="2:8" x14ac:dyDescent="0.25">
      <c r="B841" s="2" t="s">
        <v>863</v>
      </c>
      <c r="C841" s="2" t="s">
        <v>21</v>
      </c>
      <c r="D841" s="2">
        <v>133</v>
      </c>
      <c r="E841" s="3" t="s">
        <v>6</v>
      </c>
      <c r="F841" s="7">
        <v>45215</v>
      </c>
      <c r="G841" s="2">
        <v>40</v>
      </c>
      <c r="H841" s="2">
        <v>3.9</v>
      </c>
    </row>
    <row r="842" spans="2:8" x14ac:dyDescent="0.25">
      <c r="B842" s="2" t="s">
        <v>864</v>
      </c>
      <c r="C842" s="2" t="s">
        <v>15</v>
      </c>
      <c r="D842" s="2">
        <v>77</v>
      </c>
      <c r="E842" s="3" t="s">
        <v>9</v>
      </c>
      <c r="F842" s="7">
        <v>45215</v>
      </c>
      <c r="G842" s="2">
        <v>176</v>
      </c>
      <c r="H842" s="2">
        <v>1.5</v>
      </c>
    </row>
    <row r="843" spans="2:8" x14ac:dyDescent="0.25">
      <c r="B843" s="2" t="s">
        <v>865</v>
      </c>
      <c r="C843" s="2" t="s">
        <v>19</v>
      </c>
      <c r="D843" s="2">
        <v>103</v>
      </c>
      <c r="E843" s="3" t="s">
        <v>6</v>
      </c>
      <c r="F843" s="7">
        <v>45215</v>
      </c>
      <c r="G843" s="2">
        <v>78</v>
      </c>
      <c r="H843" s="2">
        <v>3</v>
      </c>
    </row>
    <row r="844" spans="2:8" x14ac:dyDescent="0.25">
      <c r="B844" s="2" t="s">
        <v>866</v>
      </c>
      <c r="C844" s="2" t="s">
        <v>5</v>
      </c>
      <c r="D844" s="2">
        <v>32</v>
      </c>
      <c r="E844" s="3" t="s">
        <v>9</v>
      </c>
      <c r="F844" s="7">
        <v>45215</v>
      </c>
      <c r="G844" s="2">
        <v>42</v>
      </c>
      <c r="H844" s="2">
        <v>4.2</v>
      </c>
    </row>
    <row r="845" spans="2:8" x14ac:dyDescent="0.25">
      <c r="B845" s="2" t="s">
        <v>867</v>
      </c>
      <c r="C845" s="2" t="s">
        <v>21</v>
      </c>
      <c r="D845" s="2">
        <v>30</v>
      </c>
      <c r="E845" s="3" t="s">
        <v>6</v>
      </c>
      <c r="F845" s="7">
        <v>45215</v>
      </c>
      <c r="G845" s="2">
        <v>38</v>
      </c>
      <c r="H845" s="2">
        <v>3.7</v>
      </c>
    </row>
    <row r="846" spans="2:8" x14ac:dyDescent="0.25">
      <c r="B846" s="2" t="s">
        <v>868</v>
      </c>
      <c r="C846" s="2" t="s">
        <v>23</v>
      </c>
      <c r="D846" s="2">
        <v>87</v>
      </c>
      <c r="E846" s="3" t="s">
        <v>13</v>
      </c>
      <c r="F846" s="7">
        <v>45215</v>
      </c>
      <c r="G846" s="2">
        <v>27</v>
      </c>
      <c r="H846" s="2">
        <v>4.2</v>
      </c>
    </row>
    <row r="847" spans="2:8" x14ac:dyDescent="0.25">
      <c r="B847" s="2" t="s">
        <v>869</v>
      </c>
      <c r="C847" s="2" t="s">
        <v>15</v>
      </c>
      <c r="D847" s="2">
        <v>137</v>
      </c>
      <c r="E847" s="3" t="s">
        <v>10</v>
      </c>
      <c r="F847" s="7">
        <v>45216</v>
      </c>
      <c r="G847" s="2">
        <v>45</v>
      </c>
      <c r="H847" s="2">
        <v>4.4000000000000004</v>
      </c>
    </row>
    <row r="848" spans="2:8" x14ac:dyDescent="0.25">
      <c r="B848" s="2" t="s">
        <v>870</v>
      </c>
      <c r="C848" s="2" t="s">
        <v>14</v>
      </c>
      <c r="D848" s="2">
        <v>96</v>
      </c>
      <c r="E848" s="3" t="s">
        <v>6</v>
      </c>
      <c r="F848" s="7">
        <v>45216</v>
      </c>
      <c r="G848" s="2">
        <v>215</v>
      </c>
      <c r="H848" s="2">
        <v>4</v>
      </c>
    </row>
    <row r="849" spans="2:8" x14ac:dyDescent="0.25">
      <c r="B849" s="2" t="s">
        <v>871</v>
      </c>
      <c r="C849" s="2" t="s">
        <v>18</v>
      </c>
      <c r="D849" s="2">
        <v>155</v>
      </c>
      <c r="E849" s="3" t="s">
        <v>6</v>
      </c>
      <c r="F849" s="7">
        <v>45217</v>
      </c>
      <c r="G849" s="2">
        <v>72</v>
      </c>
      <c r="H849" s="2">
        <v>4.7</v>
      </c>
    </row>
    <row r="850" spans="2:8" x14ac:dyDescent="0.25">
      <c r="B850" s="2" t="s">
        <v>872</v>
      </c>
      <c r="C850" s="2" t="s">
        <v>21</v>
      </c>
      <c r="D850" s="2">
        <v>173</v>
      </c>
      <c r="E850" s="3" t="s">
        <v>11</v>
      </c>
      <c r="F850" s="7">
        <v>45217</v>
      </c>
      <c r="G850" s="2">
        <v>160</v>
      </c>
      <c r="H850" s="2">
        <v>2.8</v>
      </c>
    </row>
    <row r="851" spans="2:8" x14ac:dyDescent="0.25">
      <c r="B851" s="2" t="s">
        <v>873</v>
      </c>
      <c r="C851" s="2" t="s">
        <v>18</v>
      </c>
      <c r="D851" s="2">
        <v>127</v>
      </c>
      <c r="E851" s="3" t="s">
        <v>6</v>
      </c>
      <c r="F851" s="7">
        <v>45217</v>
      </c>
      <c r="G851" s="2">
        <v>165</v>
      </c>
      <c r="H851" s="2">
        <v>2.5</v>
      </c>
    </row>
    <row r="852" spans="2:8" x14ac:dyDescent="0.25">
      <c r="B852" s="2" t="s">
        <v>874</v>
      </c>
      <c r="C852" s="2" t="s">
        <v>12</v>
      </c>
      <c r="D852" s="2">
        <v>117</v>
      </c>
      <c r="E852" s="3" t="s">
        <v>11</v>
      </c>
      <c r="F852" s="7">
        <v>45217</v>
      </c>
      <c r="G852" s="2">
        <v>120</v>
      </c>
      <c r="H852" s="2">
        <v>3.4</v>
      </c>
    </row>
    <row r="853" spans="2:8" x14ac:dyDescent="0.25">
      <c r="B853" s="2" t="s">
        <v>875</v>
      </c>
      <c r="C853" s="2" t="s">
        <v>20</v>
      </c>
      <c r="D853" s="2">
        <v>133</v>
      </c>
      <c r="E853" s="3" t="s">
        <v>9</v>
      </c>
      <c r="F853" s="7">
        <v>45217</v>
      </c>
      <c r="G853" s="2">
        <v>117</v>
      </c>
      <c r="H853" s="2">
        <v>4.8</v>
      </c>
    </row>
    <row r="854" spans="2:8" x14ac:dyDescent="0.25">
      <c r="B854" s="2" t="s">
        <v>876</v>
      </c>
      <c r="C854" s="2" t="s">
        <v>24</v>
      </c>
      <c r="D854" s="2">
        <v>166</v>
      </c>
      <c r="E854" s="3" t="s">
        <v>13</v>
      </c>
      <c r="F854" s="7">
        <v>45218</v>
      </c>
      <c r="G854" s="2">
        <v>29</v>
      </c>
      <c r="H854" s="2">
        <v>4.3</v>
      </c>
    </row>
    <row r="855" spans="2:8" x14ac:dyDescent="0.25">
      <c r="B855" s="2" t="s">
        <v>877</v>
      </c>
      <c r="C855" s="2" t="s">
        <v>20</v>
      </c>
      <c r="D855" s="2">
        <v>50</v>
      </c>
      <c r="E855" s="3" t="s">
        <v>11</v>
      </c>
      <c r="F855" s="7">
        <v>45218</v>
      </c>
      <c r="G855" s="2">
        <v>64</v>
      </c>
      <c r="H855" s="2">
        <v>4.5</v>
      </c>
    </row>
    <row r="856" spans="2:8" x14ac:dyDescent="0.25">
      <c r="B856" s="2" t="s">
        <v>878</v>
      </c>
      <c r="C856" s="2" t="s">
        <v>19</v>
      </c>
      <c r="D856" s="2">
        <v>43</v>
      </c>
      <c r="E856" s="3" t="s">
        <v>9</v>
      </c>
      <c r="F856" s="7">
        <v>45218</v>
      </c>
      <c r="G856" s="2">
        <v>84</v>
      </c>
      <c r="H856" s="2">
        <v>3.6</v>
      </c>
    </row>
    <row r="857" spans="2:8" x14ac:dyDescent="0.25">
      <c r="B857" s="2" t="s">
        <v>879</v>
      </c>
      <c r="C857" s="2" t="s">
        <v>14</v>
      </c>
      <c r="D857" s="2">
        <v>124</v>
      </c>
      <c r="E857" s="3" t="s">
        <v>6</v>
      </c>
      <c r="F857" s="7">
        <v>45218</v>
      </c>
      <c r="G857" s="2">
        <v>42</v>
      </c>
      <c r="H857" s="2">
        <v>3.7</v>
      </c>
    </row>
    <row r="858" spans="2:8" x14ac:dyDescent="0.25">
      <c r="B858" s="2" t="s">
        <v>880</v>
      </c>
      <c r="C858" s="2" t="s">
        <v>21</v>
      </c>
      <c r="D858" s="2">
        <v>94</v>
      </c>
      <c r="E858" s="3" t="s">
        <v>6</v>
      </c>
      <c r="F858" s="7">
        <v>45218</v>
      </c>
      <c r="G858" s="2">
        <v>120</v>
      </c>
      <c r="H858" s="2">
        <v>3.5</v>
      </c>
    </row>
    <row r="859" spans="2:8" x14ac:dyDescent="0.25">
      <c r="B859" s="2" t="s">
        <v>881</v>
      </c>
      <c r="C859" s="2" t="s">
        <v>19</v>
      </c>
      <c r="D859" s="2">
        <v>126</v>
      </c>
      <c r="E859" s="3" t="s">
        <v>13</v>
      </c>
      <c r="F859" s="7">
        <v>45219</v>
      </c>
      <c r="G859" s="2">
        <v>80</v>
      </c>
      <c r="H859" s="2">
        <v>4.7</v>
      </c>
    </row>
    <row r="860" spans="2:8" x14ac:dyDescent="0.25">
      <c r="B860" s="2" t="s">
        <v>882</v>
      </c>
      <c r="C860" s="2" t="s">
        <v>24</v>
      </c>
      <c r="D860" s="2">
        <v>105</v>
      </c>
      <c r="E860" s="3" t="s">
        <v>11</v>
      </c>
      <c r="F860" s="7">
        <v>45219</v>
      </c>
      <c r="G860" s="2">
        <v>185</v>
      </c>
      <c r="H860" s="2">
        <v>3.5</v>
      </c>
    </row>
    <row r="861" spans="2:8" x14ac:dyDescent="0.25">
      <c r="B861" s="2" t="s">
        <v>883</v>
      </c>
      <c r="C861" s="2" t="s">
        <v>8</v>
      </c>
      <c r="D861" s="2">
        <v>60</v>
      </c>
      <c r="E861" s="3" t="s">
        <v>10</v>
      </c>
      <c r="F861" s="7">
        <v>45220</v>
      </c>
      <c r="G861" s="2">
        <v>135</v>
      </c>
      <c r="H861" s="2">
        <v>3.9</v>
      </c>
    </row>
    <row r="862" spans="2:8" x14ac:dyDescent="0.25">
      <c r="B862" s="2" t="s">
        <v>884</v>
      </c>
      <c r="C862" s="2" t="s">
        <v>8</v>
      </c>
      <c r="D862" s="2">
        <v>72</v>
      </c>
      <c r="E862" s="3" t="s">
        <v>11</v>
      </c>
      <c r="F862" s="7">
        <v>45220</v>
      </c>
      <c r="G862" s="2">
        <v>20</v>
      </c>
      <c r="H862" s="2">
        <v>4.8</v>
      </c>
    </row>
    <row r="863" spans="2:8" x14ac:dyDescent="0.25">
      <c r="B863" s="2" t="s">
        <v>885</v>
      </c>
      <c r="C863" s="2" t="s">
        <v>16</v>
      </c>
      <c r="D863" s="2">
        <v>40</v>
      </c>
      <c r="E863" s="3" t="s">
        <v>11</v>
      </c>
      <c r="F863" s="7">
        <v>45220</v>
      </c>
      <c r="G863" s="2">
        <v>31</v>
      </c>
      <c r="H863" s="2">
        <v>4</v>
      </c>
    </row>
    <row r="864" spans="2:8" x14ac:dyDescent="0.25">
      <c r="B864" s="2" t="s">
        <v>886</v>
      </c>
      <c r="C864" s="2" t="s">
        <v>5</v>
      </c>
      <c r="D864" s="2">
        <v>54</v>
      </c>
      <c r="E864" s="3" t="s">
        <v>13</v>
      </c>
      <c r="F864" s="7">
        <v>45221</v>
      </c>
      <c r="G864" s="2">
        <v>120</v>
      </c>
      <c r="H864" s="2">
        <v>4.7</v>
      </c>
    </row>
    <row r="865" spans="2:8" x14ac:dyDescent="0.25">
      <c r="B865" s="2" t="s">
        <v>887</v>
      </c>
      <c r="C865" s="2" t="s">
        <v>12</v>
      </c>
      <c r="D865" s="2">
        <v>81</v>
      </c>
      <c r="E865" s="3" t="s">
        <v>9</v>
      </c>
      <c r="F865" s="7">
        <v>45221</v>
      </c>
      <c r="G865" s="2">
        <v>117</v>
      </c>
      <c r="H865" s="2">
        <v>3.6</v>
      </c>
    </row>
    <row r="866" spans="2:8" x14ac:dyDescent="0.25">
      <c r="B866" s="2" t="s">
        <v>888</v>
      </c>
      <c r="C866" s="2" t="s">
        <v>5</v>
      </c>
      <c r="D866" s="2">
        <v>76</v>
      </c>
      <c r="E866" s="3" t="s">
        <v>6</v>
      </c>
      <c r="F866" s="7">
        <v>45221</v>
      </c>
      <c r="G866" s="2">
        <v>80</v>
      </c>
      <c r="H866" s="2">
        <v>4.5</v>
      </c>
    </row>
    <row r="867" spans="2:8" x14ac:dyDescent="0.25">
      <c r="B867" s="2" t="s">
        <v>889</v>
      </c>
      <c r="C867" s="2" t="s">
        <v>5</v>
      </c>
      <c r="D867" s="2">
        <v>37</v>
      </c>
      <c r="E867" s="3" t="s">
        <v>10</v>
      </c>
      <c r="F867" s="7">
        <v>45222</v>
      </c>
      <c r="G867" s="2">
        <v>117</v>
      </c>
      <c r="H867" s="2">
        <v>4</v>
      </c>
    </row>
    <row r="868" spans="2:8" x14ac:dyDescent="0.25">
      <c r="B868" s="2" t="s">
        <v>890</v>
      </c>
      <c r="C868" s="2" t="s">
        <v>24</v>
      </c>
      <c r="D868" s="2">
        <v>96</v>
      </c>
      <c r="E868" s="3" t="s">
        <v>13</v>
      </c>
      <c r="F868" s="7">
        <v>45222</v>
      </c>
      <c r="G868" s="2">
        <v>60</v>
      </c>
      <c r="H868" s="2">
        <v>4.5</v>
      </c>
    </row>
    <row r="869" spans="2:8" x14ac:dyDescent="0.25">
      <c r="B869" s="2" t="s">
        <v>891</v>
      </c>
      <c r="C869" s="2" t="s">
        <v>8</v>
      </c>
      <c r="D869" s="2">
        <v>19</v>
      </c>
      <c r="E869" s="3" t="s">
        <v>6</v>
      </c>
      <c r="F869" s="7">
        <v>45223</v>
      </c>
      <c r="G869" s="2">
        <v>58</v>
      </c>
      <c r="H869" s="2">
        <v>3.9</v>
      </c>
    </row>
    <row r="870" spans="2:8" x14ac:dyDescent="0.25">
      <c r="B870" s="2" t="s">
        <v>892</v>
      </c>
      <c r="C870" s="2" t="s">
        <v>16</v>
      </c>
      <c r="D870" s="2">
        <v>72</v>
      </c>
      <c r="E870" s="3" t="s">
        <v>10</v>
      </c>
      <c r="F870" s="7">
        <v>45223</v>
      </c>
      <c r="G870" s="2">
        <v>41</v>
      </c>
      <c r="H870" s="2">
        <v>4.3</v>
      </c>
    </row>
    <row r="871" spans="2:8" x14ac:dyDescent="0.25">
      <c r="B871" s="2" t="s">
        <v>893</v>
      </c>
      <c r="C871" s="2" t="s">
        <v>21</v>
      </c>
      <c r="D871" s="2">
        <v>73</v>
      </c>
      <c r="E871" s="3" t="s">
        <v>9</v>
      </c>
      <c r="F871" s="7">
        <v>45223</v>
      </c>
      <c r="G871" s="2">
        <v>180</v>
      </c>
      <c r="H871" s="2">
        <v>3.6</v>
      </c>
    </row>
    <row r="872" spans="2:8" x14ac:dyDescent="0.25">
      <c r="B872" s="2" t="s">
        <v>894</v>
      </c>
      <c r="C872" s="2" t="s">
        <v>17</v>
      </c>
      <c r="D872" s="2">
        <v>87</v>
      </c>
      <c r="E872" s="3" t="s">
        <v>9</v>
      </c>
      <c r="F872" s="7">
        <v>45223</v>
      </c>
      <c r="G872" s="2">
        <v>42</v>
      </c>
      <c r="H872" s="2">
        <v>3.6</v>
      </c>
    </row>
    <row r="873" spans="2:8" x14ac:dyDescent="0.25">
      <c r="B873" s="2" t="s">
        <v>895</v>
      </c>
      <c r="C873" s="2" t="s">
        <v>17</v>
      </c>
      <c r="D873" s="2">
        <v>68</v>
      </c>
      <c r="E873" s="3" t="s">
        <v>9</v>
      </c>
      <c r="F873" s="7">
        <v>45224</v>
      </c>
      <c r="G873" s="2">
        <v>24</v>
      </c>
      <c r="H873" s="2">
        <v>4</v>
      </c>
    </row>
    <row r="874" spans="2:8" x14ac:dyDescent="0.25">
      <c r="B874" s="2" t="s">
        <v>896</v>
      </c>
      <c r="C874" s="2" t="s">
        <v>16</v>
      </c>
      <c r="D874" s="2">
        <v>101</v>
      </c>
      <c r="E874" s="3" t="s">
        <v>9</v>
      </c>
      <c r="F874" s="7">
        <v>45224</v>
      </c>
      <c r="G874" s="2">
        <v>125</v>
      </c>
      <c r="H874" s="2">
        <v>4.2</v>
      </c>
    </row>
    <row r="875" spans="2:8" x14ac:dyDescent="0.25">
      <c r="B875" s="2" t="s">
        <v>897</v>
      </c>
      <c r="C875" s="2" t="s">
        <v>16</v>
      </c>
      <c r="D875" s="2">
        <v>107</v>
      </c>
      <c r="E875" s="3" t="s">
        <v>10</v>
      </c>
      <c r="F875" s="7">
        <v>45225</v>
      </c>
      <c r="G875" s="2">
        <v>78</v>
      </c>
      <c r="H875" s="2">
        <v>4.3</v>
      </c>
    </row>
    <row r="876" spans="2:8" x14ac:dyDescent="0.25">
      <c r="B876" s="2" t="s">
        <v>898</v>
      </c>
      <c r="C876" s="2" t="s">
        <v>22</v>
      </c>
      <c r="D876" s="2">
        <v>109</v>
      </c>
      <c r="E876" s="3" t="s">
        <v>11</v>
      </c>
      <c r="F876" s="7">
        <v>45225</v>
      </c>
      <c r="G876" s="2">
        <v>180</v>
      </c>
      <c r="H876" s="2">
        <v>3.8</v>
      </c>
    </row>
    <row r="877" spans="2:8" x14ac:dyDescent="0.25">
      <c r="B877" s="2" t="s">
        <v>899</v>
      </c>
      <c r="C877" s="2" t="s">
        <v>14</v>
      </c>
      <c r="D877" s="2">
        <v>171</v>
      </c>
      <c r="E877" s="3" t="s">
        <v>10</v>
      </c>
      <c r="F877" s="7">
        <v>45225</v>
      </c>
      <c r="G877" s="2">
        <v>84</v>
      </c>
      <c r="H877" s="2">
        <v>4.4000000000000004</v>
      </c>
    </row>
    <row r="878" spans="2:8" x14ac:dyDescent="0.25">
      <c r="B878" s="2" t="s">
        <v>900</v>
      </c>
      <c r="C878" s="2" t="s">
        <v>8</v>
      </c>
      <c r="D878" s="2">
        <v>21</v>
      </c>
      <c r="E878" s="3" t="s">
        <v>10</v>
      </c>
      <c r="F878" s="7">
        <v>45225</v>
      </c>
      <c r="G878" s="2">
        <v>26</v>
      </c>
      <c r="H878" s="2">
        <v>4.7</v>
      </c>
    </row>
    <row r="879" spans="2:8" x14ac:dyDescent="0.25">
      <c r="B879" s="2" t="s">
        <v>901</v>
      </c>
      <c r="C879" s="2" t="s">
        <v>12</v>
      </c>
      <c r="D879" s="2">
        <v>94</v>
      </c>
      <c r="E879" s="3" t="s">
        <v>10</v>
      </c>
      <c r="F879" s="7">
        <v>45226</v>
      </c>
      <c r="G879" s="2">
        <v>140</v>
      </c>
      <c r="H879" s="2">
        <v>3.6</v>
      </c>
    </row>
    <row r="880" spans="2:8" x14ac:dyDescent="0.25">
      <c r="B880" s="2" t="s">
        <v>902</v>
      </c>
      <c r="C880" s="2" t="s">
        <v>21</v>
      </c>
      <c r="D880" s="2">
        <v>97</v>
      </c>
      <c r="E880" s="3" t="s">
        <v>11</v>
      </c>
      <c r="F880" s="7">
        <v>45226</v>
      </c>
      <c r="G880" s="2">
        <v>31</v>
      </c>
      <c r="H880" s="2">
        <v>2.2000000000000002</v>
      </c>
    </row>
    <row r="881" spans="2:8" x14ac:dyDescent="0.25">
      <c r="B881" s="2" t="s">
        <v>903</v>
      </c>
      <c r="C881" s="2" t="s">
        <v>24</v>
      </c>
      <c r="D881" s="2">
        <v>72</v>
      </c>
      <c r="E881" s="3" t="s">
        <v>11</v>
      </c>
      <c r="F881" s="7">
        <v>45226</v>
      </c>
      <c r="G881" s="2">
        <v>108</v>
      </c>
      <c r="H881" s="2">
        <v>4.8</v>
      </c>
    </row>
    <row r="882" spans="2:8" x14ac:dyDescent="0.25">
      <c r="B882" s="2" t="s">
        <v>904</v>
      </c>
      <c r="C882" s="2" t="s">
        <v>14</v>
      </c>
      <c r="D882" s="2">
        <v>143</v>
      </c>
      <c r="E882" s="3" t="s">
        <v>13</v>
      </c>
      <c r="F882" s="7">
        <v>45227</v>
      </c>
      <c r="G882" s="2">
        <v>58</v>
      </c>
      <c r="H882" s="2">
        <v>4.3</v>
      </c>
    </row>
    <row r="883" spans="2:8" x14ac:dyDescent="0.25">
      <c r="B883" s="2" t="s">
        <v>905</v>
      </c>
      <c r="C883" s="2" t="s">
        <v>14</v>
      </c>
      <c r="D883" s="2">
        <v>64</v>
      </c>
      <c r="E883" s="3" t="s">
        <v>11</v>
      </c>
      <c r="F883" s="7">
        <v>45227</v>
      </c>
      <c r="G883" s="2">
        <v>185</v>
      </c>
      <c r="H883" s="2">
        <v>2.2000000000000002</v>
      </c>
    </row>
    <row r="884" spans="2:8" x14ac:dyDescent="0.25">
      <c r="B884" s="2" t="s">
        <v>906</v>
      </c>
      <c r="C884" s="2" t="s">
        <v>14</v>
      </c>
      <c r="D884" s="2">
        <v>69</v>
      </c>
      <c r="E884" s="3" t="s">
        <v>11</v>
      </c>
      <c r="F884" s="7">
        <v>45227</v>
      </c>
      <c r="G884" s="2">
        <v>40</v>
      </c>
      <c r="H884" s="2">
        <v>4.8</v>
      </c>
    </row>
    <row r="885" spans="2:8" x14ac:dyDescent="0.25">
      <c r="B885" s="2" t="s">
        <v>907</v>
      </c>
      <c r="C885" s="2" t="s">
        <v>14</v>
      </c>
      <c r="D885" s="2">
        <v>18</v>
      </c>
      <c r="E885" s="3" t="s">
        <v>6</v>
      </c>
      <c r="F885" s="7">
        <v>45227</v>
      </c>
      <c r="G885" s="2">
        <v>225</v>
      </c>
      <c r="H885" s="2">
        <v>2.6</v>
      </c>
    </row>
    <row r="886" spans="2:8" x14ac:dyDescent="0.25">
      <c r="B886" s="2" t="s">
        <v>908</v>
      </c>
      <c r="C886" s="2" t="s">
        <v>21</v>
      </c>
      <c r="D886" s="2">
        <v>100</v>
      </c>
      <c r="E886" s="3" t="s">
        <v>13</v>
      </c>
      <c r="F886" s="7">
        <v>45227</v>
      </c>
      <c r="G886" s="2">
        <v>150</v>
      </c>
      <c r="H886" s="2">
        <v>2.6</v>
      </c>
    </row>
    <row r="887" spans="2:8" x14ac:dyDescent="0.25">
      <c r="B887" s="2" t="s">
        <v>909</v>
      </c>
      <c r="C887" s="2" t="s">
        <v>18</v>
      </c>
      <c r="D887" s="2">
        <v>110</v>
      </c>
      <c r="E887" s="3" t="s">
        <v>9</v>
      </c>
      <c r="F887" s="7">
        <v>45228</v>
      </c>
      <c r="G887" s="2">
        <v>88</v>
      </c>
      <c r="H887" s="2">
        <v>3.4</v>
      </c>
    </row>
    <row r="888" spans="2:8" x14ac:dyDescent="0.25">
      <c r="B888" s="2" t="s">
        <v>910</v>
      </c>
      <c r="C888" s="2" t="s">
        <v>7</v>
      </c>
      <c r="D888" s="2">
        <v>41</v>
      </c>
      <c r="E888" s="3" t="s">
        <v>10</v>
      </c>
      <c r="F888" s="7">
        <v>45228</v>
      </c>
      <c r="G888" s="2">
        <v>140</v>
      </c>
      <c r="H888" s="2">
        <v>3.7</v>
      </c>
    </row>
    <row r="889" spans="2:8" x14ac:dyDescent="0.25">
      <c r="B889" s="2" t="s">
        <v>911</v>
      </c>
      <c r="C889" s="2" t="s">
        <v>18</v>
      </c>
      <c r="D889" s="2">
        <v>147</v>
      </c>
      <c r="E889" s="3" t="s">
        <v>9</v>
      </c>
      <c r="F889" s="7">
        <v>45228</v>
      </c>
      <c r="G889" s="2">
        <v>68</v>
      </c>
      <c r="H889" s="2">
        <v>2.1</v>
      </c>
    </row>
    <row r="890" spans="2:8" x14ac:dyDescent="0.25">
      <c r="B890" s="2" t="s">
        <v>912</v>
      </c>
      <c r="C890" s="2" t="s">
        <v>12</v>
      </c>
      <c r="D890" s="2">
        <v>31</v>
      </c>
      <c r="E890" s="3" t="s">
        <v>6</v>
      </c>
      <c r="F890" s="7">
        <v>45229</v>
      </c>
      <c r="G890" s="2">
        <v>105</v>
      </c>
      <c r="H890" s="2">
        <v>3.6</v>
      </c>
    </row>
    <row r="891" spans="2:8" x14ac:dyDescent="0.25">
      <c r="B891" s="2" t="s">
        <v>913</v>
      </c>
      <c r="C891" s="2" t="s">
        <v>17</v>
      </c>
      <c r="D891" s="2">
        <v>142</v>
      </c>
      <c r="E891" s="3" t="s">
        <v>10</v>
      </c>
      <c r="F891" s="7">
        <v>45229</v>
      </c>
      <c r="G891" s="2">
        <v>40</v>
      </c>
      <c r="H891" s="2">
        <v>3.8</v>
      </c>
    </row>
    <row r="892" spans="2:8" x14ac:dyDescent="0.25">
      <c r="B892" s="2" t="s">
        <v>914</v>
      </c>
      <c r="C892" s="2" t="s">
        <v>22</v>
      </c>
      <c r="D892" s="2">
        <v>61</v>
      </c>
      <c r="E892" s="3" t="s">
        <v>10</v>
      </c>
      <c r="F892" s="7">
        <v>45229</v>
      </c>
      <c r="G892" s="2">
        <v>82</v>
      </c>
      <c r="H892" s="2">
        <v>3.1</v>
      </c>
    </row>
    <row r="893" spans="2:8" x14ac:dyDescent="0.25">
      <c r="B893" s="2" t="s">
        <v>915</v>
      </c>
      <c r="C893" s="2" t="s">
        <v>20</v>
      </c>
      <c r="D893" s="2">
        <v>86</v>
      </c>
      <c r="E893" s="3" t="s">
        <v>6</v>
      </c>
      <c r="F893" s="7">
        <v>45230</v>
      </c>
      <c r="G893" s="2">
        <v>90</v>
      </c>
      <c r="H893" s="2">
        <v>4.4000000000000004</v>
      </c>
    </row>
    <row r="894" spans="2:8" x14ac:dyDescent="0.25">
      <c r="B894" s="2" t="s">
        <v>916</v>
      </c>
      <c r="C894" s="2" t="s">
        <v>23</v>
      </c>
      <c r="D894" s="2">
        <v>165</v>
      </c>
      <c r="E894" s="3" t="s">
        <v>13</v>
      </c>
      <c r="F894" s="7">
        <v>45231</v>
      </c>
      <c r="G894" s="2">
        <v>66</v>
      </c>
      <c r="H894" s="2">
        <v>4.8</v>
      </c>
    </row>
    <row r="895" spans="2:8" x14ac:dyDescent="0.25">
      <c r="B895" s="2" t="s">
        <v>917</v>
      </c>
      <c r="C895" s="2" t="s">
        <v>5</v>
      </c>
      <c r="D895" s="2">
        <v>62</v>
      </c>
      <c r="E895" s="3" t="s">
        <v>9</v>
      </c>
      <c r="F895" s="7">
        <v>45231</v>
      </c>
      <c r="G895" s="2">
        <v>78</v>
      </c>
      <c r="H895" s="2">
        <v>3.5</v>
      </c>
    </row>
    <row r="896" spans="2:8" x14ac:dyDescent="0.25">
      <c r="B896" s="2" t="s">
        <v>918</v>
      </c>
      <c r="C896" s="2" t="s">
        <v>21</v>
      </c>
      <c r="D896" s="2">
        <v>103</v>
      </c>
      <c r="E896" s="3" t="s">
        <v>13</v>
      </c>
      <c r="F896" s="7">
        <v>45232</v>
      </c>
      <c r="G896" s="2">
        <v>66</v>
      </c>
      <c r="H896" s="2">
        <v>4.4000000000000004</v>
      </c>
    </row>
    <row r="897" spans="2:8" x14ac:dyDescent="0.25">
      <c r="B897" s="2" t="s">
        <v>919</v>
      </c>
      <c r="C897" s="2" t="s">
        <v>17</v>
      </c>
      <c r="D897" s="2">
        <v>56</v>
      </c>
      <c r="E897" s="3" t="s">
        <v>6</v>
      </c>
      <c r="F897" s="7">
        <v>45233</v>
      </c>
      <c r="G897" s="2">
        <v>160</v>
      </c>
      <c r="H897" s="2">
        <v>3.8</v>
      </c>
    </row>
    <row r="898" spans="2:8" x14ac:dyDescent="0.25">
      <c r="B898" s="2" t="s">
        <v>920</v>
      </c>
      <c r="C898" s="2" t="s">
        <v>16</v>
      </c>
      <c r="D898" s="2">
        <v>114</v>
      </c>
      <c r="E898" s="3" t="s">
        <v>10</v>
      </c>
      <c r="F898" s="7">
        <v>45234</v>
      </c>
      <c r="G898" s="2">
        <v>144</v>
      </c>
      <c r="H898" s="2">
        <v>3.8</v>
      </c>
    </row>
    <row r="899" spans="2:8" x14ac:dyDescent="0.25">
      <c r="B899" s="2" t="s">
        <v>921</v>
      </c>
      <c r="C899" s="2" t="s">
        <v>17</v>
      </c>
      <c r="D899" s="2">
        <v>112</v>
      </c>
      <c r="E899" s="3" t="s">
        <v>11</v>
      </c>
      <c r="F899" s="7">
        <v>45234</v>
      </c>
      <c r="G899" s="2">
        <v>200</v>
      </c>
      <c r="H899" s="2">
        <v>4.5999999999999996</v>
      </c>
    </row>
    <row r="900" spans="2:8" x14ac:dyDescent="0.25">
      <c r="B900" s="2" t="s">
        <v>922</v>
      </c>
      <c r="C900" s="2" t="s">
        <v>15</v>
      </c>
      <c r="D900" s="2">
        <v>52</v>
      </c>
      <c r="E900" s="3" t="s">
        <v>9</v>
      </c>
      <c r="F900" s="7">
        <v>45236</v>
      </c>
      <c r="G900" s="2">
        <v>220</v>
      </c>
      <c r="H900" s="2">
        <v>5</v>
      </c>
    </row>
    <row r="901" spans="2:8" x14ac:dyDescent="0.25">
      <c r="B901" s="2" t="s">
        <v>923</v>
      </c>
      <c r="C901" s="2" t="s">
        <v>21</v>
      </c>
      <c r="D901" s="2">
        <v>105</v>
      </c>
      <c r="E901" s="3" t="s">
        <v>13</v>
      </c>
      <c r="F901" s="7">
        <v>45237</v>
      </c>
      <c r="G901" s="2">
        <v>112</v>
      </c>
      <c r="H901" s="2">
        <v>3.2</v>
      </c>
    </row>
    <row r="902" spans="2:8" x14ac:dyDescent="0.25">
      <c r="B902" s="2" t="s">
        <v>924</v>
      </c>
      <c r="C902" s="2" t="s">
        <v>23</v>
      </c>
      <c r="D902" s="2">
        <v>91</v>
      </c>
      <c r="E902" s="3" t="s">
        <v>6</v>
      </c>
      <c r="F902" s="7">
        <v>45237</v>
      </c>
      <c r="G902" s="2">
        <v>110</v>
      </c>
      <c r="H902" s="2">
        <v>3.7</v>
      </c>
    </row>
    <row r="903" spans="2:8" x14ac:dyDescent="0.25">
      <c r="B903" s="2" t="s">
        <v>925</v>
      </c>
      <c r="C903" s="2" t="s">
        <v>19</v>
      </c>
      <c r="D903" s="2">
        <v>74</v>
      </c>
      <c r="E903" s="3" t="s">
        <v>10</v>
      </c>
      <c r="F903" s="7">
        <v>45238</v>
      </c>
      <c r="G903" s="2">
        <v>160</v>
      </c>
      <c r="H903" s="2">
        <v>2.7</v>
      </c>
    </row>
    <row r="904" spans="2:8" x14ac:dyDescent="0.25">
      <c r="B904" s="2" t="s">
        <v>926</v>
      </c>
      <c r="C904" s="2" t="s">
        <v>19</v>
      </c>
      <c r="D904" s="2">
        <v>30</v>
      </c>
      <c r="E904" s="3" t="s">
        <v>6</v>
      </c>
      <c r="F904" s="7">
        <v>45238</v>
      </c>
      <c r="G904" s="2">
        <v>84</v>
      </c>
      <c r="H904" s="2">
        <v>4</v>
      </c>
    </row>
    <row r="905" spans="2:8" x14ac:dyDescent="0.25">
      <c r="B905" s="2" t="s">
        <v>927</v>
      </c>
      <c r="C905" s="2" t="s">
        <v>23</v>
      </c>
      <c r="D905" s="2">
        <v>56</v>
      </c>
      <c r="E905" s="3" t="s">
        <v>9</v>
      </c>
      <c r="F905" s="7">
        <v>45238</v>
      </c>
      <c r="G905" s="2">
        <v>124</v>
      </c>
      <c r="H905" s="2">
        <v>2.6</v>
      </c>
    </row>
    <row r="906" spans="2:8" x14ac:dyDescent="0.25">
      <c r="B906" s="2" t="s">
        <v>928</v>
      </c>
      <c r="C906" s="2" t="s">
        <v>19</v>
      </c>
      <c r="D906" s="2">
        <v>151</v>
      </c>
      <c r="E906" s="3" t="s">
        <v>11</v>
      </c>
      <c r="F906" s="7">
        <v>45238</v>
      </c>
      <c r="G906" s="2">
        <v>84</v>
      </c>
      <c r="H906" s="2">
        <v>4.5999999999999996</v>
      </c>
    </row>
    <row r="907" spans="2:8" x14ac:dyDescent="0.25">
      <c r="B907" s="2" t="s">
        <v>929</v>
      </c>
      <c r="C907" s="2" t="s">
        <v>12</v>
      </c>
      <c r="D907" s="2">
        <v>108</v>
      </c>
      <c r="E907" s="3" t="s">
        <v>13</v>
      </c>
      <c r="F907" s="7">
        <v>45239</v>
      </c>
      <c r="G907" s="2">
        <v>130</v>
      </c>
      <c r="H907" s="2">
        <v>2.7</v>
      </c>
    </row>
    <row r="908" spans="2:8" x14ac:dyDescent="0.25">
      <c r="B908" s="2" t="s">
        <v>930</v>
      </c>
      <c r="C908" s="2" t="s">
        <v>16</v>
      </c>
      <c r="D908" s="2">
        <v>124</v>
      </c>
      <c r="E908" s="3" t="s">
        <v>10</v>
      </c>
      <c r="F908" s="7">
        <v>45239</v>
      </c>
      <c r="G908" s="2">
        <v>215</v>
      </c>
      <c r="H908" s="2">
        <v>3.5</v>
      </c>
    </row>
    <row r="909" spans="2:8" x14ac:dyDescent="0.25">
      <c r="B909" s="2" t="s">
        <v>931</v>
      </c>
      <c r="C909" s="2" t="s">
        <v>21</v>
      </c>
      <c r="D909" s="2">
        <v>110</v>
      </c>
      <c r="E909" s="3" t="s">
        <v>9</v>
      </c>
      <c r="F909" s="7">
        <v>45240</v>
      </c>
      <c r="G909" s="2">
        <v>132</v>
      </c>
      <c r="H909" s="2">
        <v>3.6</v>
      </c>
    </row>
    <row r="910" spans="2:8" x14ac:dyDescent="0.25">
      <c r="B910" s="2" t="s">
        <v>932</v>
      </c>
      <c r="C910" s="2" t="s">
        <v>18</v>
      </c>
      <c r="D910" s="2">
        <v>89</v>
      </c>
      <c r="E910" s="3" t="s">
        <v>13</v>
      </c>
      <c r="F910" s="7">
        <v>45240</v>
      </c>
      <c r="G910" s="2">
        <v>88</v>
      </c>
      <c r="H910" s="2">
        <v>4.9000000000000004</v>
      </c>
    </row>
    <row r="911" spans="2:8" x14ac:dyDescent="0.25">
      <c r="B911" s="2" t="s">
        <v>933</v>
      </c>
      <c r="C911" s="2" t="s">
        <v>20</v>
      </c>
      <c r="D911" s="2">
        <v>95</v>
      </c>
      <c r="E911" s="3" t="s">
        <v>9</v>
      </c>
      <c r="F911" s="7">
        <v>45240</v>
      </c>
      <c r="G911" s="2">
        <v>140</v>
      </c>
      <c r="H911" s="2">
        <v>3.9</v>
      </c>
    </row>
    <row r="912" spans="2:8" x14ac:dyDescent="0.25">
      <c r="B912" s="2" t="s">
        <v>934</v>
      </c>
      <c r="C912" s="2" t="s">
        <v>19</v>
      </c>
      <c r="D912" s="2">
        <v>84</v>
      </c>
      <c r="E912" s="3" t="s">
        <v>13</v>
      </c>
      <c r="F912" s="7">
        <v>45241</v>
      </c>
      <c r="G912" s="2">
        <v>66</v>
      </c>
      <c r="H912" s="2">
        <v>4.7</v>
      </c>
    </row>
    <row r="913" spans="2:8" x14ac:dyDescent="0.25">
      <c r="B913" s="2" t="s">
        <v>935</v>
      </c>
      <c r="C913" s="2" t="s">
        <v>24</v>
      </c>
      <c r="D913" s="2">
        <v>89</v>
      </c>
      <c r="E913" s="3" t="s">
        <v>10</v>
      </c>
      <c r="F913" s="7">
        <v>45241</v>
      </c>
      <c r="G913" s="2">
        <v>23</v>
      </c>
      <c r="H913" s="2">
        <v>4.5</v>
      </c>
    </row>
    <row r="914" spans="2:8" x14ac:dyDescent="0.25">
      <c r="B914" s="2" t="s">
        <v>936</v>
      </c>
      <c r="C914" s="2" t="s">
        <v>18</v>
      </c>
      <c r="D914" s="2">
        <v>146</v>
      </c>
      <c r="E914" s="3" t="s">
        <v>10</v>
      </c>
      <c r="F914" s="7">
        <v>45242</v>
      </c>
      <c r="G914" s="2">
        <v>220</v>
      </c>
      <c r="H914" s="2">
        <v>4.5</v>
      </c>
    </row>
    <row r="915" spans="2:8" x14ac:dyDescent="0.25">
      <c r="B915" s="2" t="s">
        <v>937</v>
      </c>
      <c r="C915" s="2" t="s">
        <v>14</v>
      </c>
      <c r="D915" s="2">
        <v>62</v>
      </c>
      <c r="E915" s="3" t="s">
        <v>6</v>
      </c>
      <c r="F915" s="7">
        <v>45243</v>
      </c>
      <c r="G915" s="2">
        <v>175</v>
      </c>
      <c r="H915" s="2">
        <v>4.4000000000000004</v>
      </c>
    </row>
    <row r="916" spans="2:8" x14ac:dyDescent="0.25">
      <c r="B916" s="2" t="s">
        <v>938</v>
      </c>
      <c r="C916" s="2" t="s">
        <v>17</v>
      </c>
      <c r="D916" s="2">
        <v>82</v>
      </c>
      <c r="E916" s="3" t="s">
        <v>10</v>
      </c>
      <c r="F916" s="7">
        <v>45243</v>
      </c>
      <c r="G916" s="2">
        <v>172</v>
      </c>
      <c r="H916" s="2">
        <v>4.0999999999999996</v>
      </c>
    </row>
    <row r="917" spans="2:8" x14ac:dyDescent="0.25">
      <c r="B917" s="2" t="s">
        <v>939</v>
      </c>
      <c r="C917" s="2" t="s">
        <v>22</v>
      </c>
      <c r="D917" s="2">
        <v>91</v>
      </c>
      <c r="E917" s="3" t="s">
        <v>11</v>
      </c>
      <c r="F917" s="7">
        <v>45243</v>
      </c>
      <c r="G917" s="2">
        <v>108</v>
      </c>
      <c r="H917" s="2">
        <v>3.8</v>
      </c>
    </row>
    <row r="918" spans="2:8" x14ac:dyDescent="0.25">
      <c r="B918" s="2" t="s">
        <v>940</v>
      </c>
      <c r="C918" s="2" t="s">
        <v>24</v>
      </c>
      <c r="D918" s="2">
        <v>39</v>
      </c>
      <c r="E918" s="3" t="s">
        <v>10</v>
      </c>
      <c r="F918" s="7">
        <v>45244</v>
      </c>
      <c r="G918" s="2">
        <v>43</v>
      </c>
      <c r="H918" s="2">
        <v>4.2</v>
      </c>
    </row>
    <row r="919" spans="2:8" x14ac:dyDescent="0.25">
      <c r="B919" s="2" t="s">
        <v>941</v>
      </c>
      <c r="C919" s="2" t="s">
        <v>18</v>
      </c>
      <c r="D919" s="2">
        <v>149</v>
      </c>
      <c r="E919" s="3" t="s">
        <v>9</v>
      </c>
      <c r="F919" s="7">
        <v>45244</v>
      </c>
      <c r="G919" s="2">
        <v>44</v>
      </c>
      <c r="H919" s="2">
        <v>2.2000000000000002</v>
      </c>
    </row>
    <row r="920" spans="2:8" x14ac:dyDescent="0.25">
      <c r="B920" s="2" t="s">
        <v>942</v>
      </c>
      <c r="C920" s="2" t="s">
        <v>17</v>
      </c>
      <c r="D920" s="2">
        <v>138</v>
      </c>
      <c r="E920" s="3" t="s">
        <v>6</v>
      </c>
      <c r="F920" s="7">
        <v>45244</v>
      </c>
      <c r="G920" s="2">
        <v>105</v>
      </c>
      <c r="H920" s="2">
        <v>3.9</v>
      </c>
    </row>
    <row r="921" spans="2:8" x14ac:dyDescent="0.25">
      <c r="B921" s="2" t="s">
        <v>943</v>
      </c>
      <c r="C921" s="2" t="s">
        <v>14</v>
      </c>
      <c r="D921" s="2">
        <v>113</v>
      </c>
      <c r="E921" s="3" t="s">
        <v>9</v>
      </c>
      <c r="F921" s="7">
        <v>45245</v>
      </c>
      <c r="G921" s="2">
        <v>34</v>
      </c>
      <c r="H921" s="2">
        <v>3.9</v>
      </c>
    </row>
    <row r="922" spans="2:8" x14ac:dyDescent="0.25">
      <c r="B922" s="2" t="s">
        <v>944</v>
      </c>
      <c r="C922" s="2" t="s">
        <v>8</v>
      </c>
      <c r="D922" s="2">
        <v>88</v>
      </c>
      <c r="E922" s="3" t="s">
        <v>10</v>
      </c>
      <c r="F922" s="7">
        <v>45245</v>
      </c>
      <c r="G922" s="2">
        <v>220</v>
      </c>
      <c r="H922" s="2">
        <v>4.0999999999999996</v>
      </c>
    </row>
    <row r="923" spans="2:8" x14ac:dyDescent="0.25">
      <c r="B923" s="2" t="s">
        <v>945</v>
      </c>
      <c r="C923" s="2" t="s">
        <v>20</v>
      </c>
      <c r="D923" s="2">
        <v>64</v>
      </c>
      <c r="E923" s="3" t="s">
        <v>6</v>
      </c>
      <c r="F923" s="7">
        <v>45245</v>
      </c>
      <c r="G923" s="2">
        <v>225</v>
      </c>
      <c r="H923" s="2">
        <v>4.5999999999999996</v>
      </c>
    </row>
    <row r="924" spans="2:8" x14ac:dyDescent="0.25">
      <c r="B924" s="2" t="s">
        <v>946</v>
      </c>
      <c r="C924" s="2" t="s">
        <v>23</v>
      </c>
      <c r="D924" s="2">
        <v>53</v>
      </c>
      <c r="E924" s="3" t="s">
        <v>6</v>
      </c>
      <c r="F924" s="7">
        <v>45246</v>
      </c>
      <c r="G924" s="2">
        <v>37</v>
      </c>
      <c r="H924" s="2">
        <v>4.0999999999999996</v>
      </c>
    </row>
    <row r="925" spans="2:8" x14ac:dyDescent="0.25">
      <c r="B925" s="2" t="s">
        <v>947</v>
      </c>
      <c r="C925" s="2" t="s">
        <v>16</v>
      </c>
      <c r="D925" s="2">
        <v>63</v>
      </c>
      <c r="E925" s="3" t="s">
        <v>9</v>
      </c>
      <c r="F925" s="7">
        <v>45246</v>
      </c>
      <c r="G925" s="2">
        <v>44</v>
      </c>
      <c r="H925" s="2">
        <v>5</v>
      </c>
    </row>
    <row r="926" spans="2:8" x14ac:dyDescent="0.25">
      <c r="B926" s="2" t="s">
        <v>948</v>
      </c>
      <c r="C926" s="2" t="s">
        <v>15</v>
      </c>
      <c r="D926" s="2">
        <v>54</v>
      </c>
      <c r="E926" s="3" t="s">
        <v>9</v>
      </c>
      <c r="F926" s="7">
        <v>45247</v>
      </c>
      <c r="G926" s="2">
        <v>35</v>
      </c>
      <c r="H926" s="2">
        <v>2.8</v>
      </c>
    </row>
    <row r="927" spans="2:8" x14ac:dyDescent="0.25">
      <c r="B927" s="2" t="s">
        <v>949</v>
      </c>
      <c r="C927" s="2" t="s">
        <v>16</v>
      </c>
      <c r="D927" s="2">
        <v>54</v>
      </c>
      <c r="E927" s="3" t="s">
        <v>10</v>
      </c>
      <c r="F927" s="7">
        <v>45247</v>
      </c>
      <c r="G927" s="2">
        <v>145</v>
      </c>
      <c r="H927" s="2">
        <v>2.7</v>
      </c>
    </row>
    <row r="928" spans="2:8" x14ac:dyDescent="0.25">
      <c r="B928" s="2" t="s">
        <v>950</v>
      </c>
      <c r="C928" s="2" t="s">
        <v>18</v>
      </c>
      <c r="D928" s="2">
        <v>71</v>
      </c>
      <c r="E928" s="3" t="s">
        <v>6</v>
      </c>
      <c r="F928" s="7">
        <v>45247</v>
      </c>
      <c r="G928" s="2">
        <v>64</v>
      </c>
      <c r="H928" s="2">
        <v>3.9</v>
      </c>
    </row>
    <row r="929" spans="2:8" x14ac:dyDescent="0.25">
      <c r="B929" s="2" t="s">
        <v>951</v>
      </c>
      <c r="C929" s="2" t="s">
        <v>16</v>
      </c>
      <c r="D929" s="2">
        <v>93</v>
      </c>
      <c r="E929" s="3" t="s">
        <v>10</v>
      </c>
      <c r="F929" s="7">
        <v>45248</v>
      </c>
      <c r="G929" s="2">
        <v>185</v>
      </c>
      <c r="H929" s="2">
        <v>4.3</v>
      </c>
    </row>
    <row r="930" spans="2:8" x14ac:dyDescent="0.25">
      <c r="B930" s="2" t="s">
        <v>952</v>
      </c>
      <c r="C930" s="2" t="s">
        <v>21</v>
      </c>
      <c r="D930" s="2">
        <v>96</v>
      </c>
      <c r="E930" s="3" t="s">
        <v>9</v>
      </c>
      <c r="F930" s="7">
        <v>45248</v>
      </c>
      <c r="G930" s="2">
        <v>215</v>
      </c>
      <c r="H930" s="2">
        <v>2.5</v>
      </c>
    </row>
    <row r="931" spans="2:8" x14ac:dyDescent="0.25">
      <c r="B931" s="2" t="s">
        <v>953</v>
      </c>
      <c r="C931" s="2" t="s">
        <v>24</v>
      </c>
      <c r="D931" s="2">
        <v>31</v>
      </c>
      <c r="E931" s="3" t="s">
        <v>11</v>
      </c>
      <c r="F931" s="7">
        <v>45248</v>
      </c>
      <c r="G931" s="2">
        <v>88</v>
      </c>
      <c r="H931" s="2">
        <v>3.4</v>
      </c>
    </row>
    <row r="932" spans="2:8" x14ac:dyDescent="0.25">
      <c r="B932" s="2" t="s">
        <v>954</v>
      </c>
      <c r="C932" s="2" t="s">
        <v>16</v>
      </c>
      <c r="D932" s="2">
        <v>107</v>
      </c>
      <c r="E932" s="3" t="s">
        <v>6</v>
      </c>
      <c r="F932" s="7">
        <v>45248</v>
      </c>
      <c r="G932" s="2">
        <v>23</v>
      </c>
      <c r="H932" s="2">
        <v>3.4</v>
      </c>
    </row>
    <row r="933" spans="2:8" x14ac:dyDescent="0.25">
      <c r="B933" s="2" t="s">
        <v>955</v>
      </c>
      <c r="C933" s="2" t="s">
        <v>23</v>
      </c>
      <c r="D933" s="2">
        <v>50</v>
      </c>
      <c r="E933" s="3" t="s">
        <v>11</v>
      </c>
      <c r="F933" s="7">
        <v>45249</v>
      </c>
      <c r="G933" s="2">
        <v>180</v>
      </c>
      <c r="H933" s="2">
        <v>1.8</v>
      </c>
    </row>
    <row r="934" spans="2:8" x14ac:dyDescent="0.25">
      <c r="B934" s="2" t="s">
        <v>956</v>
      </c>
      <c r="C934" s="2" t="s">
        <v>17</v>
      </c>
      <c r="D934" s="2">
        <v>69</v>
      </c>
      <c r="E934" s="3" t="s">
        <v>6</v>
      </c>
      <c r="F934" s="7">
        <v>45250</v>
      </c>
      <c r="G934" s="2">
        <v>225</v>
      </c>
      <c r="H934" s="2">
        <v>3.7</v>
      </c>
    </row>
    <row r="935" spans="2:8" x14ac:dyDescent="0.25">
      <c r="B935" s="2" t="s">
        <v>957</v>
      </c>
      <c r="C935" s="2" t="s">
        <v>8</v>
      </c>
      <c r="D935" s="2">
        <v>26</v>
      </c>
      <c r="E935" s="3" t="s">
        <v>9</v>
      </c>
      <c r="F935" s="7">
        <v>45251</v>
      </c>
      <c r="G935" s="2">
        <v>74</v>
      </c>
      <c r="H935" s="2">
        <v>4.0999999999999996</v>
      </c>
    </row>
    <row r="936" spans="2:8" x14ac:dyDescent="0.25">
      <c r="B936" s="2" t="s">
        <v>958</v>
      </c>
      <c r="C936" s="2" t="s">
        <v>21</v>
      </c>
      <c r="D936" s="2">
        <v>158</v>
      </c>
      <c r="E936" s="3" t="s">
        <v>6</v>
      </c>
      <c r="F936" s="7">
        <v>45251</v>
      </c>
      <c r="G936" s="2">
        <v>36</v>
      </c>
      <c r="H936" s="2">
        <v>3</v>
      </c>
    </row>
    <row r="937" spans="2:8" x14ac:dyDescent="0.25">
      <c r="B937" s="2" t="s">
        <v>959</v>
      </c>
      <c r="C937" s="2" t="s">
        <v>15</v>
      </c>
      <c r="D937" s="2">
        <v>99</v>
      </c>
      <c r="E937" s="3" t="s">
        <v>6</v>
      </c>
      <c r="F937" s="7">
        <v>45253</v>
      </c>
      <c r="G937" s="2">
        <v>116</v>
      </c>
      <c r="H937" s="2">
        <v>3.9</v>
      </c>
    </row>
    <row r="938" spans="2:8" x14ac:dyDescent="0.25">
      <c r="B938" s="2" t="s">
        <v>960</v>
      </c>
      <c r="C938" s="2" t="s">
        <v>21</v>
      </c>
      <c r="D938" s="2">
        <v>78</v>
      </c>
      <c r="E938" s="3" t="s">
        <v>11</v>
      </c>
      <c r="F938" s="7">
        <v>45253</v>
      </c>
      <c r="G938" s="2">
        <v>140</v>
      </c>
      <c r="H938" s="2">
        <v>4</v>
      </c>
    </row>
    <row r="939" spans="2:8" x14ac:dyDescent="0.25">
      <c r="B939" s="2" t="s">
        <v>961</v>
      </c>
      <c r="C939" s="2" t="s">
        <v>21</v>
      </c>
      <c r="D939" s="2">
        <v>102</v>
      </c>
      <c r="E939" s="3" t="s">
        <v>9</v>
      </c>
      <c r="F939" s="7">
        <v>45254</v>
      </c>
      <c r="G939" s="2">
        <v>104</v>
      </c>
      <c r="H939" s="2">
        <v>4.5</v>
      </c>
    </row>
    <row r="940" spans="2:8" x14ac:dyDescent="0.25">
      <c r="B940" s="2" t="s">
        <v>962</v>
      </c>
      <c r="C940" s="2" t="s">
        <v>15</v>
      </c>
      <c r="D940" s="2">
        <v>158</v>
      </c>
      <c r="E940" s="3" t="s">
        <v>13</v>
      </c>
      <c r="F940" s="7">
        <v>45254</v>
      </c>
      <c r="G940" s="2">
        <v>148</v>
      </c>
      <c r="H940" s="2">
        <v>4</v>
      </c>
    </row>
    <row r="941" spans="2:8" x14ac:dyDescent="0.25">
      <c r="B941" s="2" t="s">
        <v>963</v>
      </c>
      <c r="C941" s="2" t="s">
        <v>24</v>
      </c>
      <c r="D941" s="2">
        <v>56</v>
      </c>
      <c r="E941" s="3" t="s">
        <v>6</v>
      </c>
      <c r="F941" s="7">
        <v>45254</v>
      </c>
      <c r="G941" s="2">
        <v>205</v>
      </c>
      <c r="H941" s="2">
        <v>4.3</v>
      </c>
    </row>
    <row r="942" spans="2:8" x14ac:dyDescent="0.25">
      <c r="B942" s="2" t="s">
        <v>964</v>
      </c>
      <c r="C942" s="2" t="s">
        <v>12</v>
      </c>
      <c r="D942" s="2">
        <v>17</v>
      </c>
      <c r="E942" s="3" t="s">
        <v>10</v>
      </c>
      <c r="F942" s="7">
        <v>45254</v>
      </c>
      <c r="G942" s="2">
        <v>210</v>
      </c>
      <c r="H942" s="2">
        <v>4.8</v>
      </c>
    </row>
    <row r="943" spans="2:8" x14ac:dyDescent="0.25">
      <c r="B943" s="2" t="s">
        <v>965</v>
      </c>
      <c r="C943" s="2" t="s">
        <v>8</v>
      </c>
      <c r="D943" s="2">
        <v>104</v>
      </c>
      <c r="E943" s="3" t="s">
        <v>13</v>
      </c>
      <c r="F943" s="7">
        <v>45256</v>
      </c>
      <c r="G943" s="2">
        <v>41</v>
      </c>
      <c r="H943" s="2">
        <v>4.7</v>
      </c>
    </row>
    <row r="944" spans="2:8" x14ac:dyDescent="0.25">
      <c r="B944" s="2" t="s">
        <v>966</v>
      </c>
      <c r="C944" s="2" t="s">
        <v>19</v>
      </c>
      <c r="D944" s="2">
        <v>96</v>
      </c>
      <c r="E944" s="3" t="s">
        <v>11</v>
      </c>
      <c r="F944" s="7">
        <v>45256</v>
      </c>
      <c r="G944" s="2">
        <v>136</v>
      </c>
      <c r="H944" s="2">
        <v>5</v>
      </c>
    </row>
    <row r="945" spans="2:8" x14ac:dyDescent="0.25">
      <c r="B945" s="2" t="s">
        <v>967</v>
      </c>
      <c r="C945" s="2" t="s">
        <v>22</v>
      </c>
      <c r="D945" s="2">
        <v>83</v>
      </c>
      <c r="E945" s="3" t="s">
        <v>9</v>
      </c>
      <c r="F945" s="7">
        <v>45257</v>
      </c>
      <c r="G945" s="2">
        <v>126</v>
      </c>
      <c r="H945" s="2">
        <v>1.5</v>
      </c>
    </row>
    <row r="946" spans="2:8" x14ac:dyDescent="0.25">
      <c r="B946" s="2" t="s">
        <v>968</v>
      </c>
      <c r="C946" s="2" t="s">
        <v>23</v>
      </c>
      <c r="D946" s="2">
        <v>80</v>
      </c>
      <c r="E946" s="3" t="s">
        <v>10</v>
      </c>
      <c r="F946" s="7">
        <v>45258</v>
      </c>
      <c r="G946" s="2">
        <v>148</v>
      </c>
      <c r="H946" s="2">
        <v>4.0999999999999996</v>
      </c>
    </row>
    <row r="947" spans="2:8" x14ac:dyDescent="0.25">
      <c r="B947" s="2" t="s">
        <v>969</v>
      </c>
      <c r="C947" s="2" t="s">
        <v>22</v>
      </c>
      <c r="D947" s="2">
        <v>152</v>
      </c>
      <c r="E947" s="3" t="s">
        <v>9</v>
      </c>
      <c r="F947" s="7">
        <v>45258</v>
      </c>
      <c r="G947" s="2">
        <v>125</v>
      </c>
      <c r="H947" s="2">
        <v>3.9</v>
      </c>
    </row>
    <row r="948" spans="2:8" x14ac:dyDescent="0.25">
      <c r="B948" s="2" t="s">
        <v>970</v>
      </c>
      <c r="C948" s="2" t="s">
        <v>18</v>
      </c>
      <c r="D948" s="2">
        <v>34</v>
      </c>
      <c r="E948" s="3" t="s">
        <v>11</v>
      </c>
      <c r="F948" s="7">
        <v>45258</v>
      </c>
      <c r="G948" s="2">
        <v>25</v>
      </c>
      <c r="H948" s="2">
        <v>4.0999999999999996</v>
      </c>
    </row>
    <row r="949" spans="2:8" x14ac:dyDescent="0.25">
      <c r="B949" s="2" t="s">
        <v>971</v>
      </c>
      <c r="C949" s="2" t="s">
        <v>14</v>
      </c>
      <c r="D949" s="2">
        <v>2</v>
      </c>
      <c r="E949" s="3" t="s">
        <v>6</v>
      </c>
      <c r="F949" s="7">
        <v>45259</v>
      </c>
      <c r="G949" s="2">
        <v>62</v>
      </c>
      <c r="H949" s="2">
        <v>2.8</v>
      </c>
    </row>
    <row r="950" spans="2:8" x14ac:dyDescent="0.25">
      <c r="B950" s="2" t="s">
        <v>972</v>
      </c>
      <c r="C950" s="2" t="s">
        <v>23</v>
      </c>
      <c r="D950" s="2">
        <v>140</v>
      </c>
      <c r="E950" s="3" t="s">
        <v>11</v>
      </c>
      <c r="F950" s="7">
        <v>45260</v>
      </c>
      <c r="G950" s="2">
        <v>90</v>
      </c>
      <c r="H950" s="2">
        <v>4.5999999999999996</v>
      </c>
    </row>
    <row r="951" spans="2:8" x14ac:dyDescent="0.25">
      <c r="B951" s="2" t="s">
        <v>973</v>
      </c>
      <c r="C951" s="2" t="s">
        <v>12</v>
      </c>
      <c r="D951" s="2">
        <v>126</v>
      </c>
      <c r="E951" s="3" t="s">
        <v>13</v>
      </c>
      <c r="F951" s="7">
        <v>45261</v>
      </c>
      <c r="G951" s="2">
        <v>33</v>
      </c>
      <c r="H951" s="2">
        <v>4.8</v>
      </c>
    </row>
    <row r="952" spans="2:8" x14ac:dyDescent="0.25">
      <c r="B952" s="2" t="s">
        <v>974</v>
      </c>
      <c r="C952" s="2" t="s">
        <v>21</v>
      </c>
      <c r="D952" s="2">
        <v>79</v>
      </c>
      <c r="E952" s="3" t="s">
        <v>6</v>
      </c>
      <c r="F952" s="7">
        <v>45261</v>
      </c>
      <c r="G952" s="2">
        <v>115</v>
      </c>
      <c r="H952" s="2">
        <v>2.2999999999999998</v>
      </c>
    </row>
    <row r="953" spans="2:8" x14ac:dyDescent="0.25">
      <c r="B953" s="2" t="s">
        <v>975</v>
      </c>
      <c r="C953" s="2" t="s">
        <v>12</v>
      </c>
      <c r="D953" s="2">
        <v>133</v>
      </c>
      <c r="E953" s="3" t="s">
        <v>13</v>
      </c>
      <c r="F953" s="7">
        <v>45261</v>
      </c>
      <c r="G953" s="2">
        <v>45</v>
      </c>
      <c r="H953" s="2">
        <v>2.6</v>
      </c>
    </row>
    <row r="954" spans="2:8" x14ac:dyDescent="0.25">
      <c r="B954" s="2" t="s">
        <v>976</v>
      </c>
      <c r="C954" s="2" t="s">
        <v>18</v>
      </c>
      <c r="D954" s="2">
        <v>97</v>
      </c>
      <c r="E954" s="3" t="s">
        <v>10</v>
      </c>
      <c r="F954" s="7">
        <v>45261</v>
      </c>
      <c r="G954" s="2">
        <v>114</v>
      </c>
      <c r="H954" s="2">
        <v>4.8</v>
      </c>
    </row>
    <row r="955" spans="2:8" x14ac:dyDescent="0.25">
      <c r="B955" s="2" t="s">
        <v>977</v>
      </c>
      <c r="C955" s="2" t="s">
        <v>21</v>
      </c>
      <c r="D955" s="2">
        <v>102</v>
      </c>
      <c r="E955" s="3" t="s">
        <v>9</v>
      </c>
      <c r="F955" s="7">
        <v>45262</v>
      </c>
      <c r="G955" s="2">
        <v>72</v>
      </c>
      <c r="H955" s="2">
        <v>3.7</v>
      </c>
    </row>
    <row r="956" spans="2:8" x14ac:dyDescent="0.25">
      <c r="B956" s="2" t="s">
        <v>978</v>
      </c>
      <c r="C956" s="2" t="s">
        <v>7</v>
      </c>
      <c r="D956" s="2">
        <v>62</v>
      </c>
      <c r="E956" s="3" t="s">
        <v>10</v>
      </c>
      <c r="F956" s="7">
        <v>45262</v>
      </c>
      <c r="G956" s="2">
        <v>205</v>
      </c>
      <c r="H956" s="2">
        <v>4.2</v>
      </c>
    </row>
    <row r="957" spans="2:8" x14ac:dyDescent="0.25">
      <c r="B957" s="2" t="s">
        <v>979</v>
      </c>
      <c r="C957" s="2" t="s">
        <v>12</v>
      </c>
      <c r="D957" s="2">
        <v>149</v>
      </c>
      <c r="E957" s="3" t="s">
        <v>9</v>
      </c>
      <c r="F957" s="7">
        <v>45263</v>
      </c>
      <c r="G957" s="2">
        <v>42</v>
      </c>
      <c r="H957" s="2">
        <v>3.3</v>
      </c>
    </row>
    <row r="958" spans="2:8" x14ac:dyDescent="0.25">
      <c r="B958" s="2" t="s">
        <v>980</v>
      </c>
      <c r="C958" s="2" t="s">
        <v>14</v>
      </c>
      <c r="D958" s="2">
        <v>133</v>
      </c>
      <c r="E958" s="3" t="s">
        <v>10</v>
      </c>
      <c r="F958" s="7">
        <v>45263</v>
      </c>
      <c r="G958" s="2">
        <v>96</v>
      </c>
      <c r="H958" s="2">
        <v>4.3</v>
      </c>
    </row>
    <row r="959" spans="2:8" x14ac:dyDescent="0.25">
      <c r="B959" s="2" t="s">
        <v>981</v>
      </c>
      <c r="C959" s="2" t="s">
        <v>21</v>
      </c>
      <c r="D959" s="2">
        <v>51</v>
      </c>
      <c r="E959" s="3" t="s">
        <v>6</v>
      </c>
      <c r="F959" s="7">
        <v>45263</v>
      </c>
      <c r="G959" s="2">
        <v>64</v>
      </c>
      <c r="H959" s="2">
        <v>3.7</v>
      </c>
    </row>
    <row r="960" spans="2:8" x14ac:dyDescent="0.25">
      <c r="B960" s="2" t="s">
        <v>982</v>
      </c>
      <c r="C960" s="2" t="s">
        <v>7</v>
      </c>
      <c r="D960" s="2">
        <v>110</v>
      </c>
      <c r="E960" s="3" t="s">
        <v>10</v>
      </c>
      <c r="F960" s="7">
        <v>45264</v>
      </c>
      <c r="G960" s="2">
        <v>72</v>
      </c>
      <c r="H960" s="2">
        <v>3.7</v>
      </c>
    </row>
    <row r="961" spans="2:8" x14ac:dyDescent="0.25">
      <c r="B961" s="2" t="s">
        <v>983</v>
      </c>
      <c r="C961" s="2" t="s">
        <v>18</v>
      </c>
      <c r="D961" s="2">
        <v>38</v>
      </c>
      <c r="E961" s="3" t="s">
        <v>13</v>
      </c>
      <c r="F961" s="7">
        <v>45265</v>
      </c>
      <c r="G961" s="2">
        <v>27</v>
      </c>
      <c r="H961" s="2">
        <v>3.1</v>
      </c>
    </row>
    <row r="962" spans="2:8" x14ac:dyDescent="0.25">
      <c r="B962" s="2" t="s">
        <v>984</v>
      </c>
      <c r="C962" s="2" t="s">
        <v>14</v>
      </c>
      <c r="D962" s="2">
        <v>78</v>
      </c>
      <c r="E962" s="3" t="s">
        <v>13</v>
      </c>
      <c r="F962" s="7">
        <v>45267</v>
      </c>
      <c r="G962" s="2">
        <v>200</v>
      </c>
      <c r="H962" s="2">
        <v>2.4</v>
      </c>
    </row>
    <row r="963" spans="2:8" x14ac:dyDescent="0.25">
      <c r="B963" s="2" t="s">
        <v>985</v>
      </c>
      <c r="C963" s="2" t="s">
        <v>18</v>
      </c>
      <c r="D963" s="2">
        <v>25</v>
      </c>
      <c r="E963" s="3" t="s">
        <v>9</v>
      </c>
      <c r="F963" s="7">
        <v>45268</v>
      </c>
      <c r="G963" s="2">
        <v>93</v>
      </c>
      <c r="H963" s="2">
        <v>3.5</v>
      </c>
    </row>
    <row r="964" spans="2:8" x14ac:dyDescent="0.25">
      <c r="B964" s="2" t="s">
        <v>986</v>
      </c>
      <c r="C964" s="2" t="s">
        <v>16</v>
      </c>
      <c r="D964" s="2">
        <v>50</v>
      </c>
      <c r="E964" s="3" t="s">
        <v>6</v>
      </c>
      <c r="F964" s="7">
        <v>45268</v>
      </c>
      <c r="G964" s="2">
        <v>54</v>
      </c>
      <c r="H964" s="2">
        <v>4.3</v>
      </c>
    </row>
    <row r="965" spans="2:8" x14ac:dyDescent="0.25">
      <c r="B965" s="2" t="s">
        <v>987</v>
      </c>
      <c r="C965" s="2" t="s">
        <v>18</v>
      </c>
      <c r="D965" s="2">
        <v>103</v>
      </c>
      <c r="E965" s="3" t="s">
        <v>9</v>
      </c>
      <c r="F965" s="7">
        <v>45269</v>
      </c>
      <c r="G965" s="2">
        <v>72</v>
      </c>
      <c r="H965" s="2">
        <v>3.4</v>
      </c>
    </row>
    <row r="966" spans="2:8" x14ac:dyDescent="0.25">
      <c r="B966" s="2" t="s">
        <v>988</v>
      </c>
      <c r="C966" s="2" t="s">
        <v>22</v>
      </c>
      <c r="D966" s="2">
        <v>63</v>
      </c>
      <c r="E966" s="3" t="s">
        <v>11</v>
      </c>
      <c r="F966" s="7">
        <v>45269</v>
      </c>
      <c r="G966" s="2">
        <v>82</v>
      </c>
      <c r="H966" s="2">
        <v>3.7</v>
      </c>
    </row>
    <row r="967" spans="2:8" x14ac:dyDescent="0.25">
      <c r="B967" s="2" t="s">
        <v>989</v>
      </c>
      <c r="C967" s="2" t="s">
        <v>16</v>
      </c>
      <c r="D967" s="2">
        <v>96</v>
      </c>
      <c r="E967" s="3" t="s">
        <v>6</v>
      </c>
      <c r="F967" s="7">
        <v>45273</v>
      </c>
      <c r="G967" s="2">
        <v>164</v>
      </c>
      <c r="H967" s="2">
        <v>4.8</v>
      </c>
    </row>
    <row r="968" spans="2:8" x14ac:dyDescent="0.25">
      <c r="B968" s="2" t="s">
        <v>990</v>
      </c>
      <c r="C968" s="2" t="s">
        <v>23</v>
      </c>
      <c r="D968" s="2">
        <v>94</v>
      </c>
      <c r="E968" s="3" t="s">
        <v>9</v>
      </c>
      <c r="F968" s="7">
        <v>45273</v>
      </c>
      <c r="G968" s="2">
        <v>78</v>
      </c>
      <c r="H968" s="2">
        <v>3.3</v>
      </c>
    </row>
    <row r="969" spans="2:8" x14ac:dyDescent="0.25">
      <c r="B969" s="2" t="s">
        <v>991</v>
      </c>
      <c r="C969" s="2" t="s">
        <v>7</v>
      </c>
      <c r="D969" s="2">
        <v>46</v>
      </c>
      <c r="E969" s="3" t="s">
        <v>13</v>
      </c>
      <c r="F969" s="7">
        <v>45274</v>
      </c>
      <c r="G969" s="2">
        <v>135</v>
      </c>
      <c r="H969" s="2">
        <v>4.2</v>
      </c>
    </row>
    <row r="970" spans="2:8" x14ac:dyDescent="0.25">
      <c r="B970" s="2" t="s">
        <v>992</v>
      </c>
      <c r="C970" s="2" t="s">
        <v>5</v>
      </c>
      <c r="D970" s="2">
        <v>127</v>
      </c>
      <c r="E970" s="3" t="s">
        <v>6</v>
      </c>
      <c r="F970" s="7">
        <v>45275</v>
      </c>
      <c r="G970" s="2">
        <v>145</v>
      </c>
      <c r="H970" s="2">
        <v>2.6</v>
      </c>
    </row>
    <row r="971" spans="2:8" x14ac:dyDescent="0.25">
      <c r="B971" s="2" t="s">
        <v>993</v>
      </c>
      <c r="C971" s="2" t="s">
        <v>15</v>
      </c>
      <c r="D971" s="2">
        <v>96</v>
      </c>
      <c r="E971" s="3" t="s">
        <v>13</v>
      </c>
      <c r="F971" s="7">
        <v>45275</v>
      </c>
      <c r="G971" s="2">
        <v>115</v>
      </c>
      <c r="H971" s="2">
        <v>4.9000000000000004</v>
      </c>
    </row>
    <row r="972" spans="2:8" x14ac:dyDescent="0.25">
      <c r="B972" s="2" t="s">
        <v>996</v>
      </c>
      <c r="C972" s="2" t="s">
        <v>17</v>
      </c>
      <c r="D972" s="2">
        <v>151</v>
      </c>
      <c r="E972" s="3" t="s">
        <v>9</v>
      </c>
      <c r="F972" s="7">
        <v>45275</v>
      </c>
      <c r="G972" s="2">
        <v>117</v>
      </c>
      <c r="H972" s="2">
        <v>2</v>
      </c>
    </row>
    <row r="973" spans="2:8" x14ac:dyDescent="0.25">
      <c r="B973" s="2" t="s">
        <v>997</v>
      </c>
      <c r="C973" s="2" t="s">
        <v>5</v>
      </c>
      <c r="D973" s="2">
        <v>158</v>
      </c>
      <c r="E973" s="3" t="s">
        <v>10</v>
      </c>
      <c r="F973" s="7">
        <v>45276</v>
      </c>
      <c r="G973" s="2">
        <v>36</v>
      </c>
      <c r="H973" s="2">
        <v>4.7</v>
      </c>
    </row>
    <row r="974" spans="2:8" x14ac:dyDescent="0.25">
      <c r="B974" s="2" t="s">
        <v>998</v>
      </c>
      <c r="C974" s="2" t="s">
        <v>23</v>
      </c>
      <c r="D974" s="2">
        <v>45</v>
      </c>
      <c r="E974" s="3" t="s">
        <v>10</v>
      </c>
      <c r="F974" s="7">
        <v>45276</v>
      </c>
      <c r="G974" s="2">
        <v>84</v>
      </c>
      <c r="H974" s="2">
        <v>2.8</v>
      </c>
    </row>
    <row r="975" spans="2:8" x14ac:dyDescent="0.25">
      <c r="B975" s="2" t="s">
        <v>999</v>
      </c>
      <c r="C975" s="2" t="s">
        <v>24</v>
      </c>
      <c r="D975" s="2">
        <v>141</v>
      </c>
      <c r="E975" s="3" t="s">
        <v>10</v>
      </c>
      <c r="F975" s="7">
        <v>45276</v>
      </c>
      <c r="G975" s="2">
        <v>66</v>
      </c>
      <c r="H975" s="2">
        <v>3.2</v>
      </c>
    </row>
    <row r="976" spans="2:8" x14ac:dyDescent="0.25">
      <c r="B976" s="2" t="s">
        <v>1000</v>
      </c>
      <c r="C976" s="2" t="s">
        <v>18</v>
      </c>
      <c r="D976" s="2">
        <v>147</v>
      </c>
      <c r="E976" s="3" t="s">
        <v>13</v>
      </c>
      <c r="F976" s="7">
        <v>45276</v>
      </c>
      <c r="G976" s="2">
        <v>76</v>
      </c>
      <c r="H976" s="2">
        <v>4.7</v>
      </c>
    </row>
    <row r="977" spans="2:8" x14ac:dyDescent="0.25">
      <c r="B977" s="2" t="s">
        <v>1001</v>
      </c>
      <c r="C977" s="2" t="s">
        <v>19</v>
      </c>
      <c r="D977" s="2">
        <v>126</v>
      </c>
      <c r="E977" s="3" t="s">
        <v>13</v>
      </c>
      <c r="F977" s="7">
        <v>45276</v>
      </c>
      <c r="G977" s="2">
        <v>185</v>
      </c>
      <c r="H977" s="2">
        <v>4.8</v>
      </c>
    </row>
    <row r="978" spans="2:8" x14ac:dyDescent="0.25">
      <c r="B978" s="2" t="s">
        <v>1002</v>
      </c>
      <c r="C978" s="2" t="s">
        <v>23</v>
      </c>
      <c r="D978" s="2">
        <v>126</v>
      </c>
      <c r="E978" s="3" t="s">
        <v>11</v>
      </c>
      <c r="F978" s="7">
        <v>45277</v>
      </c>
      <c r="G978" s="2">
        <v>80</v>
      </c>
      <c r="H978" s="2">
        <v>4.7</v>
      </c>
    </row>
    <row r="979" spans="2:8" x14ac:dyDescent="0.25">
      <c r="B979" s="2" t="s">
        <v>1003</v>
      </c>
      <c r="C979" s="2" t="s">
        <v>14</v>
      </c>
      <c r="D979" s="2">
        <v>32</v>
      </c>
      <c r="E979" s="3" t="s">
        <v>13</v>
      </c>
      <c r="F979" s="7">
        <v>45277</v>
      </c>
      <c r="G979" s="2">
        <v>148</v>
      </c>
      <c r="H979" s="2">
        <v>4</v>
      </c>
    </row>
    <row r="980" spans="2:8" x14ac:dyDescent="0.25">
      <c r="B980" s="2" t="s">
        <v>1004</v>
      </c>
      <c r="C980" s="2" t="s">
        <v>23</v>
      </c>
      <c r="D980" s="2">
        <v>84</v>
      </c>
      <c r="E980" s="3" t="s">
        <v>6</v>
      </c>
      <c r="F980" s="7">
        <v>45279</v>
      </c>
      <c r="G980" s="2">
        <v>180</v>
      </c>
      <c r="H980" s="2">
        <v>4.9000000000000004</v>
      </c>
    </row>
    <row r="981" spans="2:8" x14ac:dyDescent="0.25">
      <c r="B981" s="2" t="s">
        <v>1005</v>
      </c>
      <c r="C981" s="2" t="s">
        <v>22</v>
      </c>
      <c r="D981" s="2">
        <v>120</v>
      </c>
      <c r="E981" s="3" t="s">
        <v>11</v>
      </c>
      <c r="F981" s="7">
        <v>45280</v>
      </c>
      <c r="G981" s="2">
        <v>190</v>
      </c>
      <c r="H981" s="2">
        <v>3.7</v>
      </c>
    </row>
    <row r="982" spans="2:8" x14ac:dyDescent="0.25">
      <c r="B982" s="2" t="s">
        <v>1006</v>
      </c>
      <c r="C982" s="2" t="s">
        <v>8</v>
      </c>
      <c r="D982" s="2">
        <v>93</v>
      </c>
      <c r="E982" s="3" t="s">
        <v>13</v>
      </c>
      <c r="F982" s="7">
        <v>45280</v>
      </c>
      <c r="G982" s="2">
        <v>38</v>
      </c>
      <c r="H982" s="2">
        <v>4.5</v>
      </c>
    </row>
    <row r="983" spans="2:8" x14ac:dyDescent="0.25">
      <c r="B983" s="2" t="s">
        <v>1007</v>
      </c>
      <c r="C983" s="2" t="s">
        <v>15</v>
      </c>
      <c r="D983" s="2">
        <v>76</v>
      </c>
      <c r="E983" s="3" t="s">
        <v>9</v>
      </c>
      <c r="F983" s="7">
        <v>45281</v>
      </c>
      <c r="G983" s="2">
        <v>82</v>
      </c>
      <c r="H983" s="2">
        <v>2.1</v>
      </c>
    </row>
    <row r="984" spans="2:8" x14ac:dyDescent="0.25">
      <c r="B984" s="2" t="s">
        <v>1008</v>
      </c>
      <c r="C984" s="2" t="s">
        <v>5</v>
      </c>
      <c r="D984" s="2">
        <v>89</v>
      </c>
      <c r="E984" s="3" t="s">
        <v>13</v>
      </c>
      <c r="F984" s="7">
        <v>45284</v>
      </c>
      <c r="G984" s="2">
        <v>88</v>
      </c>
      <c r="H984" s="2">
        <v>2.8</v>
      </c>
    </row>
    <row r="985" spans="2:8" x14ac:dyDescent="0.25">
      <c r="B985" s="2" t="s">
        <v>1009</v>
      </c>
      <c r="C985" s="2" t="s">
        <v>21</v>
      </c>
      <c r="D985" s="2">
        <v>91</v>
      </c>
      <c r="E985" s="3" t="s">
        <v>6</v>
      </c>
      <c r="F985" s="7">
        <v>45284</v>
      </c>
      <c r="G985" s="2">
        <v>42</v>
      </c>
      <c r="H985" s="2">
        <v>4.0999999999999996</v>
      </c>
    </row>
    <row r="986" spans="2:8" x14ac:dyDescent="0.25">
      <c r="B986" s="2" t="s">
        <v>1010</v>
      </c>
      <c r="C986" s="2" t="s">
        <v>7</v>
      </c>
      <c r="D986" s="2">
        <v>7</v>
      </c>
      <c r="E986" s="3" t="s">
        <v>10</v>
      </c>
      <c r="F986" s="7">
        <v>45285</v>
      </c>
      <c r="G986" s="2">
        <v>64</v>
      </c>
      <c r="H986" s="2">
        <v>3.3</v>
      </c>
    </row>
    <row r="987" spans="2:8" x14ac:dyDescent="0.25">
      <c r="B987" s="2" t="s">
        <v>1011</v>
      </c>
      <c r="C987" s="2" t="s">
        <v>14</v>
      </c>
      <c r="D987" s="2">
        <v>140</v>
      </c>
      <c r="E987" s="3" t="s">
        <v>10</v>
      </c>
      <c r="F987" s="7">
        <v>45285</v>
      </c>
      <c r="G987" s="2">
        <v>105</v>
      </c>
      <c r="H987" s="2">
        <v>1.7</v>
      </c>
    </row>
    <row r="988" spans="2:8" x14ac:dyDescent="0.25">
      <c r="B988" s="2" t="s">
        <v>1012</v>
      </c>
      <c r="C988" s="2" t="s">
        <v>12</v>
      </c>
      <c r="D988" s="2">
        <v>58</v>
      </c>
      <c r="E988" s="3" t="s">
        <v>11</v>
      </c>
      <c r="F988" s="7">
        <v>45285</v>
      </c>
      <c r="G988" s="2">
        <v>25</v>
      </c>
      <c r="H988" s="2">
        <v>3.6</v>
      </c>
    </row>
    <row r="989" spans="2:8" x14ac:dyDescent="0.25">
      <c r="B989" s="2" t="s">
        <v>1013</v>
      </c>
      <c r="C989" s="2" t="s">
        <v>20</v>
      </c>
      <c r="D989" s="2">
        <v>90</v>
      </c>
      <c r="E989" s="3" t="s">
        <v>9</v>
      </c>
      <c r="F989" s="7">
        <v>45286</v>
      </c>
      <c r="G989" s="2">
        <v>176</v>
      </c>
      <c r="H989" s="2">
        <v>3.6</v>
      </c>
    </row>
    <row r="990" spans="2:8" x14ac:dyDescent="0.25">
      <c r="B990" s="2" t="s">
        <v>1014</v>
      </c>
      <c r="C990" s="2" t="s">
        <v>20</v>
      </c>
      <c r="D990" s="2">
        <v>106</v>
      </c>
      <c r="E990" s="3" t="s">
        <v>13</v>
      </c>
      <c r="F990" s="7">
        <v>45287</v>
      </c>
      <c r="G990" s="2">
        <v>46</v>
      </c>
      <c r="H990" s="2">
        <v>4.5999999999999996</v>
      </c>
    </row>
    <row r="991" spans="2:8" x14ac:dyDescent="0.25">
      <c r="B991" s="2" t="s">
        <v>1015</v>
      </c>
      <c r="C991" s="2" t="s">
        <v>22</v>
      </c>
      <c r="D991" s="2">
        <v>72</v>
      </c>
      <c r="E991" s="3" t="s">
        <v>10</v>
      </c>
      <c r="F991" s="7">
        <v>45287</v>
      </c>
      <c r="G991" s="2">
        <v>164</v>
      </c>
      <c r="H991" s="2">
        <v>4.8</v>
      </c>
    </row>
    <row r="992" spans="2:8" x14ac:dyDescent="0.25">
      <c r="B992" s="2" t="s">
        <v>1016</v>
      </c>
      <c r="C992" s="2" t="s">
        <v>7</v>
      </c>
      <c r="D992" s="2">
        <v>124</v>
      </c>
      <c r="E992" s="3" t="s">
        <v>10</v>
      </c>
      <c r="F992" s="7">
        <v>45288</v>
      </c>
      <c r="G992" s="2">
        <v>64</v>
      </c>
      <c r="H992" s="2">
        <v>4.5</v>
      </c>
    </row>
    <row r="993" spans="2:8" x14ac:dyDescent="0.25">
      <c r="B993" s="2" t="s">
        <v>1017</v>
      </c>
      <c r="C993" s="2" t="s">
        <v>24</v>
      </c>
      <c r="D993" s="2">
        <v>86</v>
      </c>
      <c r="E993" s="3" t="s">
        <v>6</v>
      </c>
      <c r="F993" s="7">
        <v>45288</v>
      </c>
      <c r="G993" s="2">
        <v>205</v>
      </c>
      <c r="H993" s="2">
        <v>4.5</v>
      </c>
    </row>
    <row r="994" spans="2:8" x14ac:dyDescent="0.25">
      <c r="B994" s="2" t="s">
        <v>1018</v>
      </c>
      <c r="C994" s="2" t="s">
        <v>23</v>
      </c>
      <c r="D994" s="2">
        <v>164</v>
      </c>
      <c r="E994" s="3" t="s">
        <v>6</v>
      </c>
      <c r="F994" s="7">
        <v>45289</v>
      </c>
      <c r="G994" s="2">
        <v>100</v>
      </c>
      <c r="H994" s="2">
        <v>4.5999999999999996</v>
      </c>
    </row>
    <row r="995" spans="2:8" x14ac:dyDescent="0.25">
      <c r="B995" s="2" t="s">
        <v>1019</v>
      </c>
      <c r="C995" s="2" t="s">
        <v>8</v>
      </c>
      <c r="D995" s="2">
        <v>40</v>
      </c>
      <c r="E995" s="3" t="s">
        <v>9</v>
      </c>
      <c r="F995" s="7">
        <v>45289</v>
      </c>
      <c r="G995" s="2">
        <v>111</v>
      </c>
      <c r="H995" s="2">
        <v>4.5999999999999996</v>
      </c>
    </row>
    <row r="996" spans="2:8" x14ac:dyDescent="0.25">
      <c r="B996" s="2" t="s">
        <v>1020</v>
      </c>
      <c r="C996" s="2" t="s">
        <v>21</v>
      </c>
      <c r="D996" s="2">
        <v>76</v>
      </c>
      <c r="E996" s="3" t="s">
        <v>11</v>
      </c>
      <c r="F996" s="7">
        <v>45289</v>
      </c>
      <c r="G996" s="2">
        <v>80</v>
      </c>
      <c r="H996" s="2">
        <v>3.5</v>
      </c>
    </row>
    <row r="997" spans="2:8" x14ac:dyDescent="0.25">
      <c r="B997" s="2" t="s">
        <v>1021</v>
      </c>
      <c r="C997" s="2" t="s">
        <v>7</v>
      </c>
      <c r="D997" s="2">
        <v>95</v>
      </c>
      <c r="E997" s="3" t="s">
        <v>13</v>
      </c>
      <c r="F997" s="7">
        <v>45289</v>
      </c>
      <c r="G997" s="2">
        <v>50</v>
      </c>
      <c r="H997" s="2">
        <v>2.9</v>
      </c>
    </row>
    <row r="998" spans="2:8" x14ac:dyDescent="0.25">
      <c r="B998" s="2" t="s">
        <v>1022</v>
      </c>
      <c r="C998" s="2" t="s">
        <v>21</v>
      </c>
      <c r="D998" s="2">
        <v>113</v>
      </c>
      <c r="E998" s="3" t="s">
        <v>10</v>
      </c>
      <c r="F998" s="7">
        <v>45290</v>
      </c>
      <c r="G998" s="2">
        <v>165</v>
      </c>
      <c r="H998" s="2">
        <v>4.7</v>
      </c>
    </row>
    <row r="999" spans="2:8" x14ac:dyDescent="0.25">
      <c r="B999" s="2" t="s">
        <v>1023</v>
      </c>
      <c r="C999" s="2" t="s">
        <v>24</v>
      </c>
      <c r="D999" s="2">
        <v>81</v>
      </c>
      <c r="E999" s="3" t="s">
        <v>10</v>
      </c>
      <c r="F999" s="7">
        <v>45290</v>
      </c>
      <c r="G999" s="2">
        <v>28</v>
      </c>
      <c r="H999" s="2">
        <v>3.9</v>
      </c>
    </row>
    <row r="1000" spans="2:8" x14ac:dyDescent="0.25">
      <c r="B1000" s="2" t="s">
        <v>1024</v>
      </c>
      <c r="C1000" s="2" t="s">
        <v>15</v>
      </c>
      <c r="D1000" s="2">
        <v>127</v>
      </c>
      <c r="E1000" s="3" t="s">
        <v>13</v>
      </c>
      <c r="F1000" s="7">
        <v>45290</v>
      </c>
      <c r="G1000" s="2">
        <v>215</v>
      </c>
      <c r="H1000" s="2">
        <v>3.8</v>
      </c>
    </row>
    <row r="1001" spans="2:8" x14ac:dyDescent="0.25">
      <c r="B1001" s="2" t="s">
        <v>1025</v>
      </c>
      <c r="C1001" s="2" t="s">
        <v>14</v>
      </c>
      <c r="D1001" s="2">
        <v>146</v>
      </c>
      <c r="E1001" s="3" t="s">
        <v>10</v>
      </c>
      <c r="F1001" s="7">
        <v>45291</v>
      </c>
      <c r="G1001" s="2">
        <v>115</v>
      </c>
      <c r="H1001" s="2">
        <v>2.2999999999999998</v>
      </c>
    </row>
    <row r="1002" spans="2:8" x14ac:dyDescent="0.25">
      <c r="B1002" s="2" t="s">
        <v>1026</v>
      </c>
      <c r="C1002" s="2" t="s">
        <v>18</v>
      </c>
      <c r="D1002" s="2">
        <v>123</v>
      </c>
      <c r="E1002" s="3" t="s">
        <v>10</v>
      </c>
      <c r="F1002" s="7">
        <v>45291</v>
      </c>
      <c r="G1002" s="2">
        <v>64</v>
      </c>
      <c r="H1002" s="2">
        <v>3.7</v>
      </c>
    </row>
    <row r="1003" spans="2:8" x14ac:dyDescent="0.25">
      <c r="B1003" s="2" t="s">
        <v>1027</v>
      </c>
      <c r="C1003" s="2" t="s">
        <v>22</v>
      </c>
      <c r="D1003" s="2">
        <v>114</v>
      </c>
      <c r="E1003" s="3" t="s">
        <v>11</v>
      </c>
      <c r="F1003" s="7">
        <v>45291</v>
      </c>
      <c r="G1003" s="2">
        <v>40</v>
      </c>
      <c r="H1003" s="2">
        <v>3.9</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126D-0261-45C5-A405-9A67A8B1C537}">
  <dimension ref="A1:O998"/>
  <sheetViews>
    <sheetView topLeftCell="A965" workbookViewId="0">
      <selection activeCell="G1001" sqref="G1001"/>
    </sheetView>
  </sheetViews>
  <sheetFormatPr defaultRowHeight="15" x14ac:dyDescent="0.25"/>
  <cols>
    <col min="1" max="1" width="14.125" bestFit="1" customWidth="1"/>
    <col min="2" max="2" width="14.25" bestFit="1" customWidth="1"/>
    <col min="3" max="3" width="14.75" bestFit="1" customWidth="1"/>
    <col min="4" max="4" width="15.875" bestFit="1" customWidth="1"/>
    <col min="5" max="5" width="18.75" bestFit="1" customWidth="1"/>
    <col min="6" max="6" width="19.75" bestFit="1" customWidth="1"/>
    <col min="7" max="7" width="11.125" bestFit="1" customWidth="1"/>
    <col min="8" max="8" width="6.75" bestFit="1" customWidth="1"/>
    <col min="9" max="9" width="9.5" bestFit="1" customWidth="1"/>
    <col min="10" max="10" width="16.375" bestFit="1" customWidth="1"/>
    <col min="11" max="11" width="14.25" bestFit="1" customWidth="1"/>
    <col min="12" max="12" width="10.625" bestFit="1" customWidth="1"/>
    <col min="13" max="13" width="5" bestFit="1" customWidth="1"/>
    <col min="14" max="14" width="17.375" bestFit="1" customWidth="1"/>
    <col min="15" max="15" width="17.25" bestFit="1" customWidth="1"/>
    <col min="16" max="16" width="16.875" bestFit="1" customWidth="1"/>
    <col min="17" max="17" width="13.75" bestFit="1" customWidth="1"/>
    <col min="18" max="18" width="10.5" bestFit="1" customWidth="1"/>
    <col min="19" max="19" width="15.875" bestFit="1" customWidth="1"/>
    <col min="20" max="20" width="12.75" bestFit="1" customWidth="1"/>
    <col min="21" max="21" width="18.25" bestFit="1" customWidth="1"/>
    <col min="22" max="22" width="19.25" bestFit="1" customWidth="1"/>
    <col min="23" max="24" width="10.75" bestFit="1" customWidth="1"/>
    <col min="25" max="27" width="11.75" bestFit="1" customWidth="1"/>
  </cols>
  <sheetData>
    <row r="1" spans="1:15" x14ac:dyDescent="0.25">
      <c r="A1" t="s">
        <v>1028</v>
      </c>
      <c r="B1" t="s">
        <v>1029</v>
      </c>
      <c r="C1" t="s">
        <v>1030</v>
      </c>
      <c r="D1" t="s">
        <v>3</v>
      </c>
      <c r="E1" t="s">
        <v>1032</v>
      </c>
      <c r="F1" t="s">
        <v>1033</v>
      </c>
      <c r="G1" t="s">
        <v>1031</v>
      </c>
      <c r="H1" t="s">
        <v>1034</v>
      </c>
      <c r="I1" t="s">
        <v>1037</v>
      </c>
      <c r="J1" t="s">
        <v>1035</v>
      </c>
      <c r="K1" t="s">
        <v>1036</v>
      </c>
      <c r="L1" t="s">
        <v>1038</v>
      </c>
      <c r="M1" t="s">
        <v>1068</v>
      </c>
      <c r="N1" t="s">
        <v>1079</v>
      </c>
      <c r="O1" t="s">
        <v>1080</v>
      </c>
    </row>
    <row r="2" spans="1:15" x14ac:dyDescent="0.25">
      <c r="A2" t="s">
        <v>26</v>
      </c>
      <c r="B2" t="s">
        <v>20</v>
      </c>
      <c r="C2">
        <v>116</v>
      </c>
      <c r="D2" t="s">
        <v>10</v>
      </c>
      <c r="E2">
        <v>128</v>
      </c>
      <c r="F2">
        <v>4.9000000000000004</v>
      </c>
      <c r="G2" s="8">
        <v>44927</v>
      </c>
      <c r="H2">
        <v>2023</v>
      </c>
      <c r="I2">
        <v>1</v>
      </c>
      <c r="J2">
        <v>1</v>
      </c>
      <c r="K2" t="s">
        <v>1039</v>
      </c>
      <c r="L2" t="s">
        <v>1040</v>
      </c>
      <c r="M2">
        <v>2023</v>
      </c>
      <c r="N2" t="s">
        <v>1074</v>
      </c>
      <c r="O2">
        <v>5</v>
      </c>
    </row>
    <row r="3" spans="1:15" x14ac:dyDescent="0.25">
      <c r="A3" t="s">
        <v>27</v>
      </c>
      <c r="B3" t="s">
        <v>12</v>
      </c>
      <c r="C3">
        <v>119</v>
      </c>
      <c r="D3" t="s">
        <v>10</v>
      </c>
      <c r="E3">
        <v>135</v>
      </c>
      <c r="F3">
        <v>2.9</v>
      </c>
      <c r="G3" s="8">
        <v>44927</v>
      </c>
      <c r="H3">
        <v>2023</v>
      </c>
      <c r="I3">
        <v>1</v>
      </c>
      <c r="J3">
        <v>1</v>
      </c>
      <c r="K3" t="s">
        <v>1039</v>
      </c>
      <c r="L3" t="s">
        <v>1040</v>
      </c>
      <c r="M3">
        <v>2023</v>
      </c>
      <c r="N3" t="s">
        <v>1074</v>
      </c>
      <c r="O3">
        <v>3</v>
      </c>
    </row>
    <row r="4" spans="1:15" x14ac:dyDescent="0.25">
      <c r="A4" t="s">
        <v>28</v>
      </c>
      <c r="B4" t="s">
        <v>23</v>
      </c>
      <c r="C4">
        <v>68</v>
      </c>
      <c r="D4" t="s">
        <v>9</v>
      </c>
      <c r="E4">
        <v>66</v>
      </c>
      <c r="F4">
        <v>4.7</v>
      </c>
      <c r="G4" s="8">
        <v>44927</v>
      </c>
      <c r="H4">
        <v>2023</v>
      </c>
      <c r="I4">
        <v>1</v>
      </c>
      <c r="J4">
        <v>1</v>
      </c>
      <c r="K4" t="s">
        <v>1039</v>
      </c>
      <c r="L4" t="s">
        <v>1040</v>
      </c>
      <c r="M4">
        <v>2023</v>
      </c>
      <c r="N4" t="s">
        <v>1074</v>
      </c>
      <c r="O4">
        <v>5</v>
      </c>
    </row>
    <row r="5" spans="1:15" x14ac:dyDescent="0.25">
      <c r="A5" t="s">
        <v>29</v>
      </c>
      <c r="B5" t="s">
        <v>21</v>
      </c>
      <c r="C5">
        <v>119</v>
      </c>
      <c r="D5" t="s">
        <v>9</v>
      </c>
      <c r="E5">
        <v>22</v>
      </c>
      <c r="F5">
        <v>2.9</v>
      </c>
      <c r="G5" s="8">
        <v>44927</v>
      </c>
      <c r="H5">
        <v>2023</v>
      </c>
      <c r="I5">
        <v>1</v>
      </c>
      <c r="J5">
        <v>1</v>
      </c>
      <c r="K5" t="s">
        <v>1039</v>
      </c>
      <c r="L5" t="s">
        <v>1040</v>
      </c>
      <c r="M5">
        <v>2023</v>
      </c>
      <c r="N5" t="s">
        <v>1074</v>
      </c>
      <c r="O5">
        <v>3</v>
      </c>
    </row>
    <row r="6" spans="1:15" x14ac:dyDescent="0.25">
      <c r="A6" t="s">
        <v>30</v>
      </c>
      <c r="B6" t="s">
        <v>8</v>
      </c>
      <c r="C6">
        <v>128</v>
      </c>
      <c r="D6" t="s">
        <v>11</v>
      </c>
      <c r="E6">
        <v>31</v>
      </c>
      <c r="F6">
        <v>2.8</v>
      </c>
      <c r="G6" s="8">
        <v>44928</v>
      </c>
      <c r="H6">
        <v>2023</v>
      </c>
      <c r="I6">
        <v>1</v>
      </c>
      <c r="J6">
        <v>1</v>
      </c>
      <c r="K6" t="s">
        <v>1039</v>
      </c>
      <c r="L6" t="s">
        <v>1041</v>
      </c>
      <c r="M6">
        <v>2023</v>
      </c>
      <c r="N6" t="s">
        <v>1075</v>
      </c>
      <c r="O6">
        <v>3</v>
      </c>
    </row>
    <row r="7" spans="1:15" x14ac:dyDescent="0.25">
      <c r="A7" t="s">
        <v>31</v>
      </c>
      <c r="B7" t="s">
        <v>8</v>
      </c>
      <c r="C7">
        <v>49</v>
      </c>
      <c r="D7" t="s">
        <v>9</v>
      </c>
      <c r="E7">
        <v>135</v>
      </c>
      <c r="F7">
        <v>4.8</v>
      </c>
      <c r="G7" s="8">
        <v>44929</v>
      </c>
      <c r="H7">
        <v>2023</v>
      </c>
      <c r="I7">
        <v>1</v>
      </c>
      <c r="J7">
        <v>1</v>
      </c>
      <c r="K7" t="s">
        <v>1039</v>
      </c>
      <c r="L7" t="s">
        <v>1042</v>
      </c>
      <c r="M7">
        <v>2023</v>
      </c>
      <c r="N7" t="s">
        <v>1076</v>
      </c>
      <c r="O7">
        <v>5</v>
      </c>
    </row>
    <row r="8" spans="1:15" x14ac:dyDescent="0.25">
      <c r="A8" t="s">
        <v>32</v>
      </c>
      <c r="B8" t="s">
        <v>15</v>
      </c>
      <c r="C8">
        <v>84</v>
      </c>
      <c r="D8" t="s">
        <v>10</v>
      </c>
      <c r="E8">
        <v>60</v>
      </c>
      <c r="F8">
        <v>4.7</v>
      </c>
      <c r="G8" s="8">
        <v>44929</v>
      </c>
      <c r="H8">
        <v>2023</v>
      </c>
      <c r="I8">
        <v>1</v>
      </c>
      <c r="J8">
        <v>1</v>
      </c>
      <c r="K8" t="s">
        <v>1039</v>
      </c>
      <c r="L8" t="s">
        <v>1042</v>
      </c>
      <c r="M8">
        <v>2023</v>
      </c>
      <c r="N8" t="s">
        <v>1074</v>
      </c>
      <c r="O8">
        <v>5</v>
      </c>
    </row>
    <row r="9" spans="1:15" x14ac:dyDescent="0.25">
      <c r="A9" t="s">
        <v>33</v>
      </c>
      <c r="B9" t="s">
        <v>20</v>
      </c>
      <c r="C9">
        <v>103</v>
      </c>
      <c r="D9" t="s">
        <v>13</v>
      </c>
      <c r="E9">
        <v>148</v>
      </c>
      <c r="F9">
        <v>4.4000000000000004</v>
      </c>
      <c r="G9" s="8">
        <v>44929</v>
      </c>
      <c r="H9">
        <v>2023</v>
      </c>
      <c r="I9">
        <v>1</v>
      </c>
      <c r="J9">
        <v>1</v>
      </c>
      <c r="K9" t="s">
        <v>1039</v>
      </c>
      <c r="L9" t="s">
        <v>1042</v>
      </c>
      <c r="M9">
        <v>2023</v>
      </c>
      <c r="N9" t="s">
        <v>1074</v>
      </c>
      <c r="O9">
        <v>4</v>
      </c>
    </row>
    <row r="10" spans="1:15" x14ac:dyDescent="0.25">
      <c r="A10" t="s">
        <v>34</v>
      </c>
      <c r="B10" t="s">
        <v>23</v>
      </c>
      <c r="C10">
        <v>31</v>
      </c>
      <c r="D10" t="s">
        <v>9</v>
      </c>
      <c r="E10">
        <v>135</v>
      </c>
      <c r="F10">
        <v>3.6</v>
      </c>
      <c r="G10" s="8">
        <v>44929</v>
      </c>
      <c r="H10">
        <v>2023</v>
      </c>
      <c r="I10">
        <v>1</v>
      </c>
      <c r="J10">
        <v>1</v>
      </c>
      <c r="K10" t="s">
        <v>1039</v>
      </c>
      <c r="L10" t="s">
        <v>1042</v>
      </c>
      <c r="M10">
        <v>2023</v>
      </c>
      <c r="N10" t="s">
        <v>1076</v>
      </c>
      <c r="O10">
        <v>4</v>
      </c>
    </row>
    <row r="11" spans="1:15" x14ac:dyDescent="0.25">
      <c r="A11" t="s">
        <v>35</v>
      </c>
      <c r="B11" t="s">
        <v>18</v>
      </c>
      <c r="C11">
        <v>44</v>
      </c>
      <c r="D11" t="s">
        <v>6</v>
      </c>
      <c r="E11">
        <v>105</v>
      </c>
      <c r="F11">
        <v>2.9</v>
      </c>
      <c r="G11" s="8">
        <v>44929</v>
      </c>
      <c r="H11">
        <v>2023</v>
      </c>
      <c r="I11">
        <v>1</v>
      </c>
      <c r="J11">
        <v>1</v>
      </c>
      <c r="K11" t="s">
        <v>1039</v>
      </c>
      <c r="L11" t="s">
        <v>1042</v>
      </c>
      <c r="M11">
        <v>2023</v>
      </c>
      <c r="N11" t="s">
        <v>1076</v>
      </c>
      <c r="O11">
        <v>3</v>
      </c>
    </row>
    <row r="12" spans="1:15" x14ac:dyDescent="0.25">
      <c r="A12" t="s">
        <v>36</v>
      </c>
      <c r="B12" t="s">
        <v>8</v>
      </c>
      <c r="C12">
        <v>102</v>
      </c>
      <c r="D12" t="s">
        <v>9</v>
      </c>
      <c r="E12">
        <v>69</v>
      </c>
      <c r="F12">
        <v>4.9000000000000004</v>
      </c>
      <c r="G12" s="8">
        <v>44929</v>
      </c>
      <c r="H12">
        <v>2023</v>
      </c>
      <c r="I12">
        <v>1</v>
      </c>
      <c r="J12">
        <v>1</v>
      </c>
      <c r="K12" t="s">
        <v>1039</v>
      </c>
      <c r="L12" t="s">
        <v>1042</v>
      </c>
      <c r="M12">
        <v>2023</v>
      </c>
      <c r="N12" t="s">
        <v>1074</v>
      </c>
      <c r="O12">
        <v>5</v>
      </c>
    </row>
    <row r="13" spans="1:15" x14ac:dyDescent="0.25">
      <c r="A13" t="s">
        <v>37</v>
      </c>
      <c r="B13" t="s">
        <v>14</v>
      </c>
      <c r="C13">
        <v>135</v>
      </c>
      <c r="D13" t="s">
        <v>10</v>
      </c>
      <c r="E13">
        <v>46</v>
      </c>
      <c r="F13">
        <v>3.4</v>
      </c>
      <c r="G13" s="8">
        <v>44929</v>
      </c>
      <c r="H13">
        <v>2023</v>
      </c>
      <c r="I13">
        <v>1</v>
      </c>
      <c r="J13">
        <v>1</v>
      </c>
      <c r="K13" t="s">
        <v>1039</v>
      </c>
      <c r="L13" t="s">
        <v>1042</v>
      </c>
      <c r="M13">
        <v>2023</v>
      </c>
      <c r="N13" t="s">
        <v>1075</v>
      </c>
      <c r="O13">
        <v>3</v>
      </c>
    </row>
    <row r="14" spans="1:15" x14ac:dyDescent="0.25">
      <c r="A14" t="s">
        <v>38</v>
      </c>
      <c r="B14" t="s">
        <v>24</v>
      </c>
      <c r="C14">
        <v>98</v>
      </c>
      <c r="D14" t="s">
        <v>9</v>
      </c>
      <c r="E14">
        <v>108</v>
      </c>
      <c r="F14">
        <v>3.5</v>
      </c>
      <c r="G14" s="8">
        <v>44930</v>
      </c>
      <c r="H14">
        <v>2023</v>
      </c>
      <c r="I14">
        <v>1</v>
      </c>
      <c r="J14">
        <v>1</v>
      </c>
      <c r="K14" t="s">
        <v>1039</v>
      </c>
      <c r="L14" t="s">
        <v>1043</v>
      </c>
      <c r="M14">
        <v>2023</v>
      </c>
      <c r="N14" t="s">
        <v>1074</v>
      </c>
      <c r="O14">
        <v>4</v>
      </c>
    </row>
    <row r="15" spans="1:15" x14ac:dyDescent="0.25">
      <c r="A15" t="s">
        <v>39</v>
      </c>
      <c r="B15" t="s">
        <v>18</v>
      </c>
      <c r="C15">
        <v>139</v>
      </c>
      <c r="D15" t="s">
        <v>9</v>
      </c>
      <c r="E15">
        <v>96</v>
      </c>
      <c r="F15">
        <v>4</v>
      </c>
      <c r="G15" s="8">
        <v>44930</v>
      </c>
      <c r="H15">
        <v>2023</v>
      </c>
      <c r="I15">
        <v>1</v>
      </c>
      <c r="J15">
        <v>1</v>
      </c>
      <c r="K15" t="s">
        <v>1039</v>
      </c>
      <c r="L15" t="s">
        <v>1043</v>
      </c>
      <c r="M15">
        <v>2023</v>
      </c>
      <c r="N15" t="s">
        <v>1075</v>
      </c>
      <c r="O15">
        <v>4</v>
      </c>
    </row>
    <row r="16" spans="1:15" x14ac:dyDescent="0.25">
      <c r="A16" t="s">
        <v>40</v>
      </c>
      <c r="B16" t="s">
        <v>14</v>
      </c>
      <c r="C16">
        <v>48</v>
      </c>
      <c r="D16" t="s">
        <v>11</v>
      </c>
      <c r="E16">
        <v>68</v>
      </c>
      <c r="F16">
        <v>4.9000000000000004</v>
      </c>
      <c r="G16" s="8">
        <v>44930</v>
      </c>
      <c r="H16">
        <v>2023</v>
      </c>
      <c r="I16">
        <v>1</v>
      </c>
      <c r="J16">
        <v>1</v>
      </c>
      <c r="K16" t="s">
        <v>1039</v>
      </c>
      <c r="L16" t="s">
        <v>1043</v>
      </c>
      <c r="M16">
        <v>2023</v>
      </c>
      <c r="N16" t="s">
        <v>1076</v>
      </c>
      <c r="O16">
        <v>5</v>
      </c>
    </row>
    <row r="17" spans="1:15" x14ac:dyDescent="0.25">
      <c r="A17" t="s">
        <v>41</v>
      </c>
      <c r="B17" t="s">
        <v>18</v>
      </c>
      <c r="C17">
        <v>176</v>
      </c>
      <c r="D17" t="s">
        <v>10</v>
      </c>
      <c r="E17">
        <v>24</v>
      </c>
      <c r="F17">
        <v>4.8</v>
      </c>
      <c r="G17" s="8">
        <v>44931</v>
      </c>
      <c r="H17">
        <v>2023</v>
      </c>
      <c r="I17">
        <v>1</v>
      </c>
      <c r="J17">
        <v>1</v>
      </c>
      <c r="K17" t="s">
        <v>1039</v>
      </c>
      <c r="L17" t="s">
        <v>1044</v>
      </c>
      <c r="M17">
        <v>2023</v>
      </c>
      <c r="N17" t="s">
        <v>1075</v>
      </c>
      <c r="O17">
        <v>5</v>
      </c>
    </row>
    <row r="18" spans="1:15" x14ac:dyDescent="0.25">
      <c r="A18" t="s">
        <v>42</v>
      </c>
      <c r="B18" t="s">
        <v>18</v>
      </c>
      <c r="C18">
        <v>99</v>
      </c>
      <c r="D18" t="s">
        <v>11</v>
      </c>
      <c r="E18">
        <v>195</v>
      </c>
      <c r="F18">
        <v>3.9</v>
      </c>
      <c r="G18" s="8">
        <v>44931</v>
      </c>
      <c r="H18">
        <v>2023</v>
      </c>
      <c r="I18">
        <v>1</v>
      </c>
      <c r="J18">
        <v>1</v>
      </c>
      <c r="K18" t="s">
        <v>1039</v>
      </c>
      <c r="L18" t="s">
        <v>1044</v>
      </c>
      <c r="M18">
        <v>2023</v>
      </c>
      <c r="N18" t="s">
        <v>1074</v>
      </c>
      <c r="O18">
        <v>4</v>
      </c>
    </row>
    <row r="19" spans="1:15" x14ac:dyDescent="0.25">
      <c r="A19" t="s">
        <v>43</v>
      </c>
      <c r="B19" t="s">
        <v>22</v>
      </c>
      <c r="C19">
        <v>28</v>
      </c>
      <c r="D19" t="s">
        <v>6</v>
      </c>
      <c r="E19">
        <v>28</v>
      </c>
      <c r="F19">
        <v>3.8</v>
      </c>
      <c r="G19" s="8">
        <v>44931</v>
      </c>
      <c r="H19">
        <v>2023</v>
      </c>
      <c r="I19">
        <v>1</v>
      </c>
      <c r="J19">
        <v>1</v>
      </c>
      <c r="K19" t="s">
        <v>1039</v>
      </c>
      <c r="L19" t="s">
        <v>1044</v>
      </c>
      <c r="M19">
        <v>2023</v>
      </c>
      <c r="N19" t="s">
        <v>1077</v>
      </c>
      <c r="O19">
        <v>4</v>
      </c>
    </row>
    <row r="20" spans="1:15" x14ac:dyDescent="0.25">
      <c r="A20" t="s">
        <v>44</v>
      </c>
      <c r="B20" t="s">
        <v>15</v>
      </c>
      <c r="C20">
        <v>54</v>
      </c>
      <c r="D20" t="s">
        <v>9</v>
      </c>
      <c r="E20">
        <v>170</v>
      </c>
      <c r="F20">
        <v>4.3</v>
      </c>
      <c r="G20" s="8">
        <v>44931</v>
      </c>
      <c r="H20">
        <v>2023</v>
      </c>
      <c r="I20">
        <v>1</v>
      </c>
      <c r="J20">
        <v>1</v>
      </c>
      <c r="K20" t="s">
        <v>1039</v>
      </c>
      <c r="L20" t="s">
        <v>1044</v>
      </c>
      <c r="M20">
        <v>2023</v>
      </c>
      <c r="N20" t="s">
        <v>1076</v>
      </c>
      <c r="O20">
        <v>4</v>
      </c>
    </row>
    <row r="21" spans="1:15" x14ac:dyDescent="0.25">
      <c r="A21" t="s">
        <v>45</v>
      </c>
      <c r="B21" t="s">
        <v>7</v>
      </c>
      <c r="C21">
        <v>48</v>
      </c>
      <c r="D21" t="s">
        <v>10</v>
      </c>
      <c r="E21">
        <v>30</v>
      </c>
      <c r="F21">
        <v>4.4000000000000004</v>
      </c>
      <c r="G21" s="8">
        <v>44932</v>
      </c>
      <c r="H21">
        <v>2023</v>
      </c>
      <c r="I21">
        <v>1</v>
      </c>
      <c r="J21">
        <v>1</v>
      </c>
      <c r="K21" t="s">
        <v>1039</v>
      </c>
      <c r="L21" t="s">
        <v>1045</v>
      </c>
      <c r="M21">
        <v>2023</v>
      </c>
      <c r="N21" t="s">
        <v>1076</v>
      </c>
      <c r="O21">
        <v>4</v>
      </c>
    </row>
    <row r="22" spans="1:15" x14ac:dyDescent="0.25">
      <c r="A22" t="s">
        <v>46</v>
      </c>
      <c r="B22" t="s">
        <v>12</v>
      </c>
      <c r="C22">
        <v>128</v>
      </c>
      <c r="D22" t="s">
        <v>10</v>
      </c>
      <c r="E22">
        <v>72</v>
      </c>
      <c r="F22">
        <v>5</v>
      </c>
      <c r="G22" s="8">
        <v>44932</v>
      </c>
      <c r="H22">
        <v>2023</v>
      </c>
      <c r="I22">
        <v>1</v>
      </c>
      <c r="J22">
        <v>1</v>
      </c>
      <c r="K22" t="s">
        <v>1039</v>
      </c>
      <c r="L22" t="s">
        <v>1045</v>
      </c>
      <c r="M22">
        <v>2023</v>
      </c>
      <c r="N22" t="s">
        <v>1075</v>
      </c>
      <c r="O22">
        <v>5</v>
      </c>
    </row>
    <row r="23" spans="1:15" x14ac:dyDescent="0.25">
      <c r="A23" t="s">
        <v>47</v>
      </c>
      <c r="B23" t="s">
        <v>12</v>
      </c>
      <c r="C23">
        <v>38</v>
      </c>
      <c r="D23" t="s">
        <v>13</v>
      </c>
      <c r="E23">
        <v>92</v>
      </c>
      <c r="F23">
        <v>4.9000000000000004</v>
      </c>
      <c r="G23" s="8">
        <v>44933</v>
      </c>
      <c r="H23">
        <v>2023</v>
      </c>
      <c r="I23">
        <v>1</v>
      </c>
      <c r="J23">
        <v>1</v>
      </c>
      <c r="K23" t="s">
        <v>1039</v>
      </c>
      <c r="L23" t="s">
        <v>1046</v>
      </c>
      <c r="M23">
        <v>2023</v>
      </c>
      <c r="N23" t="s">
        <v>1076</v>
      </c>
      <c r="O23">
        <v>5</v>
      </c>
    </row>
    <row r="24" spans="1:15" x14ac:dyDescent="0.25">
      <c r="A24" t="s">
        <v>48</v>
      </c>
      <c r="B24" t="s">
        <v>20</v>
      </c>
      <c r="C24">
        <v>67</v>
      </c>
      <c r="D24" t="s">
        <v>13</v>
      </c>
      <c r="E24">
        <v>165</v>
      </c>
      <c r="F24">
        <v>4.5</v>
      </c>
      <c r="G24" s="8">
        <v>44934</v>
      </c>
      <c r="H24">
        <v>2023</v>
      </c>
      <c r="I24">
        <v>1</v>
      </c>
      <c r="J24">
        <v>1</v>
      </c>
      <c r="K24" t="s">
        <v>1039</v>
      </c>
      <c r="L24" t="s">
        <v>1040</v>
      </c>
      <c r="M24">
        <v>2023</v>
      </c>
      <c r="N24" t="s">
        <v>1074</v>
      </c>
      <c r="O24">
        <v>4</v>
      </c>
    </row>
    <row r="25" spans="1:15" x14ac:dyDescent="0.25">
      <c r="A25" t="s">
        <v>49</v>
      </c>
      <c r="B25" t="s">
        <v>19</v>
      </c>
      <c r="C25">
        <v>58</v>
      </c>
      <c r="D25" t="s">
        <v>9</v>
      </c>
      <c r="E25">
        <v>140</v>
      </c>
      <c r="F25">
        <v>2.1</v>
      </c>
      <c r="G25" s="8">
        <v>44934</v>
      </c>
      <c r="H25">
        <v>2023</v>
      </c>
      <c r="I25">
        <v>1</v>
      </c>
      <c r="J25">
        <v>1</v>
      </c>
      <c r="K25" t="s">
        <v>1039</v>
      </c>
      <c r="L25" t="s">
        <v>1040</v>
      </c>
      <c r="M25">
        <v>2023</v>
      </c>
      <c r="N25" t="s">
        <v>1076</v>
      </c>
      <c r="O25">
        <v>2</v>
      </c>
    </row>
    <row r="26" spans="1:15" x14ac:dyDescent="0.25">
      <c r="A26" t="s">
        <v>50</v>
      </c>
      <c r="B26" t="s">
        <v>18</v>
      </c>
      <c r="C26">
        <v>54</v>
      </c>
      <c r="D26" t="s">
        <v>11</v>
      </c>
      <c r="E26">
        <v>111</v>
      </c>
      <c r="F26">
        <v>3.3</v>
      </c>
      <c r="G26" s="8">
        <v>44934</v>
      </c>
      <c r="H26">
        <v>2023</v>
      </c>
      <c r="I26">
        <v>1</v>
      </c>
      <c r="J26">
        <v>1</v>
      </c>
      <c r="K26" t="s">
        <v>1039</v>
      </c>
      <c r="L26" t="s">
        <v>1040</v>
      </c>
      <c r="M26">
        <v>2023</v>
      </c>
      <c r="N26" t="s">
        <v>1076</v>
      </c>
      <c r="O26">
        <v>3</v>
      </c>
    </row>
    <row r="27" spans="1:15" x14ac:dyDescent="0.25">
      <c r="A27" t="s">
        <v>51</v>
      </c>
      <c r="B27" t="s">
        <v>16</v>
      </c>
      <c r="C27">
        <v>28</v>
      </c>
      <c r="D27" t="s">
        <v>10</v>
      </c>
      <c r="E27">
        <v>63</v>
      </c>
      <c r="F27">
        <v>4.0999999999999996</v>
      </c>
      <c r="G27" s="8">
        <v>44935</v>
      </c>
      <c r="H27">
        <v>2023</v>
      </c>
      <c r="I27">
        <v>1</v>
      </c>
      <c r="J27">
        <v>1</v>
      </c>
      <c r="K27" t="s">
        <v>1039</v>
      </c>
      <c r="L27" t="s">
        <v>1041</v>
      </c>
      <c r="M27">
        <v>2023</v>
      </c>
      <c r="N27" t="s">
        <v>1077</v>
      </c>
      <c r="O27">
        <v>4</v>
      </c>
    </row>
    <row r="28" spans="1:15" x14ac:dyDescent="0.25">
      <c r="A28" t="s">
        <v>52</v>
      </c>
      <c r="B28" t="s">
        <v>24</v>
      </c>
      <c r="C28">
        <v>73</v>
      </c>
      <c r="D28" t="s">
        <v>10</v>
      </c>
      <c r="E28">
        <v>80</v>
      </c>
      <c r="F28">
        <v>4.2</v>
      </c>
      <c r="G28" s="8">
        <v>44935</v>
      </c>
      <c r="H28">
        <v>2023</v>
      </c>
      <c r="I28">
        <v>1</v>
      </c>
      <c r="J28">
        <v>1</v>
      </c>
      <c r="K28" t="s">
        <v>1039</v>
      </c>
      <c r="L28" t="s">
        <v>1041</v>
      </c>
      <c r="M28">
        <v>2023</v>
      </c>
      <c r="N28" t="s">
        <v>1074</v>
      </c>
      <c r="O28">
        <v>4</v>
      </c>
    </row>
    <row r="29" spans="1:15" x14ac:dyDescent="0.25">
      <c r="A29" t="s">
        <v>53</v>
      </c>
      <c r="B29" t="s">
        <v>8</v>
      </c>
      <c r="C29">
        <v>81</v>
      </c>
      <c r="D29" t="s">
        <v>10</v>
      </c>
      <c r="E29">
        <v>50</v>
      </c>
      <c r="F29">
        <v>4.5999999999999996</v>
      </c>
      <c r="G29" s="8">
        <v>44936</v>
      </c>
      <c r="H29">
        <v>2023</v>
      </c>
      <c r="I29">
        <v>1</v>
      </c>
      <c r="J29">
        <v>1</v>
      </c>
      <c r="K29" t="s">
        <v>1039</v>
      </c>
      <c r="L29" t="s">
        <v>1042</v>
      </c>
      <c r="M29">
        <v>2023</v>
      </c>
      <c r="N29" t="s">
        <v>1074</v>
      </c>
      <c r="O29">
        <v>5</v>
      </c>
    </row>
    <row r="30" spans="1:15" x14ac:dyDescent="0.25">
      <c r="A30" t="s">
        <v>54</v>
      </c>
      <c r="B30" t="s">
        <v>22</v>
      </c>
      <c r="C30">
        <v>31</v>
      </c>
      <c r="D30" t="s">
        <v>13</v>
      </c>
      <c r="E30">
        <v>123</v>
      </c>
      <c r="F30">
        <v>2.9</v>
      </c>
      <c r="G30" s="8">
        <v>44936</v>
      </c>
      <c r="H30">
        <v>2023</v>
      </c>
      <c r="I30">
        <v>1</v>
      </c>
      <c r="J30">
        <v>1</v>
      </c>
      <c r="K30" t="s">
        <v>1039</v>
      </c>
      <c r="L30" t="s">
        <v>1042</v>
      </c>
      <c r="M30">
        <v>2023</v>
      </c>
      <c r="N30" t="s">
        <v>1076</v>
      </c>
      <c r="O30">
        <v>3</v>
      </c>
    </row>
    <row r="31" spans="1:15" x14ac:dyDescent="0.25">
      <c r="A31" t="s">
        <v>55</v>
      </c>
      <c r="B31" t="s">
        <v>19</v>
      </c>
      <c r="C31">
        <v>155</v>
      </c>
      <c r="D31" t="s">
        <v>11</v>
      </c>
      <c r="E31">
        <v>110</v>
      </c>
      <c r="F31">
        <v>4.8</v>
      </c>
      <c r="G31" s="8">
        <v>44936</v>
      </c>
      <c r="H31">
        <v>2023</v>
      </c>
      <c r="I31">
        <v>1</v>
      </c>
      <c r="J31">
        <v>1</v>
      </c>
      <c r="K31" t="s">
        <v>1039</v>
      </c>
      <c r="L31" t="s">
        <v>1042</v>
      </c>
      <c r="M31">
        <v>2023</v>
      </c>
      <c r="N31" t="s">
        <v>1075</v>
      </c>
      <c r="O31">
        <v>5</v>
      </c>
    </row>
    <row r="32" spans="1:15" x14ac:dyDescent="0.25">
      <c r="A32" t="s">
        <v>56</v>
      </c>
      <c r="B32" t="s">
        <v>22</v>
      </c>
      <c r="C32">
        <v>80</v>
      </c>
      <c r="D32" t="s">
        <v>10</v>
      </c>
      <c r="E32">
        <v>140</v>
      </c>
      <c r="F32">
        <v>4.2</v>
      </c>
      <c r="G32" s="8">
        <v>44936</v>
      </c>
      <c r="H32">
        <v>2023</v>
      </c>
      <c r="I32">
        <v>1</v>
      </c>
      <c r="J32">
        <v>1</v>
      </c>
      <c r="K32" t="s">
        <v>1039</v>
      </c>
      <c r="L32" t="s">
        <v>1042</v>
      </c>
      <c r="M32">
        <v>2023</v>
      </c>
      <c r="N32" t="s">
        <v>1074</v>
      </c>
      <c r="O32">
        <v>4</v>
      </c>
    </row>
    <row r="33" spans="1:15" x14ac:dyDescent="0.25">
      <c r="A33" t="s">
        <v>57</v>
      </c>
      <c r="B33" t="s">
        <v>8</v>
      </c>
      <c r="C33">
        <v>82</v>
      </c>
      <c r="D33" t="s">
        <v>10</v>
      </c>
      <c r="E33">
        <v>42</v>
      </c>
      <c r="F33">
        <v>3.7</v>
      </c>
      <c r="G33" s="8">
        <v>44938</v>
      </c>
      <c r="H33">
        <v>2023</v>
      </c>
      <c r="I33">
        <v>1</v>
      </c>
      <c r="J33">
        <v>1</v>
      </c>
      <c r="K33" t="s">
        <v>1039</v>
      </c>
      <c r="L33" t="s">
        <v>1044</v>
      </c>
      <c r="M33">
        <v>2023</v>
      </c>
      <c r="N33" t="s">
        <v>1074</v>
      </c>
      <c r="O33">
        <v>4</v>
      </c>
    </row>
    <row r="34" spans="1:15" x14ac:dyDescent="0.25">
      <c r="A34" t="s">
        <v>58</v>
      </c>
      <c r="B34" t="s">
        <v>8</v>
      </c>
      <c r="C34">
        <v>29</v>
      </c>
      <c r="D34" t="s">
        <v>11</v>
      </c>
      <c r="E34">
        <v>170</v>
      </c>
      <c r="F34">
        <v>5</v>
      </c>
      <c r="G34" s="8">
        <v>44938</v>
      </c>
      <c r="H34">
        <v>2023</v>
      </c>
      <c r="I34">
        <v>1</v>
      </c>
      <c r="J34">
        <v>1</v>
      </c>
      <c r="K34" t="s">
        <v>1039</v>
      </c>
      <c r="L34" t="s">
        <v>1044</v>
      </c>
      <c r="M34">
        <v>2023</v>
      </c>
      <c r="N34" t="s">
        <v>1077</v>
      </c>
      <c r="O34">
        <v>5</v>
      </c>
    </row>
    <row r="35" spans="1:15" x14ac:dyDescent="0.25">
      <c r="A35" t="s">
        <v>59</v>
      </c>
      <c r="B35" t="s">
        <v>7</v>
      </c>
      <c r="C35">
        <v>160</v>
      </c>
      <c r="D35" t="s">
        <v>9</v>
      </c>
      <c r="E35">
        <v>105</v>
      </c>
      <c r="F35">
        <v>5</v>
      </c>
      <c r="G35" s="8">
        <v>44940</v>
      </c>
      <c r="H35">
        <v>2023</v>
      </c>
      <c r="I35">
        <v>1</v>
      </c>
      <c r="J35">
        <v>1</v>
      </c>
      <c r="K35" t="s">
        <v>1039</v>
      </c>
      <c r="L35" t="s">
        <v>1046</v>
      </c>
      <c r="M35">
        <v>2023</v>
      </c>
      <c r="N35" t="s">
        <v>1075</v>
      </c>
      <c r="O35">
        <v>5</v>
      </c>
    </row>
    <row r="36" spans="1:15" x14ac:dyDescent="0.25">
      <c r="A36" t="s">
        <v>60</v>
      </c>
      <c r="B36" t="s">
        <v>17</v>
      </c>
      <c r="C36">
        <v>105</v>
      </c>
      <c r="D36" t="s">
        <v>10</v>
      </c>
      <c r="E36">
        <v>125</v>
      </c>
      <c r="F36">
        <v>4.8</v>
      </c>
      <c r="G36" s="8">
        <v>44941</v>
      </c>
      <c r="H36">
        <v>2023</v>
      </c>
      <c r="I36">
        <v>1</v>
      </c>
      <c r="J36">
        <v>1</v>
      </c>
      <c r="K36" t="s">
        <v>1039</v>
      </c>
      <c r="L36" t="s">
        <v>1040</v>
      </c>
      <c r="M36">
        <v>2023</v>
      </c>
      <c r="N36" t="s">
        <v>1074</v>
      </c>
      <c r="O36">
        <v>5</v>
      </c>
    </row>
    <row r="37" spans="1:15" x14ac:dyDescent="0.25">
      <c r="A37" t="s">
        <v>61</v>
      </c>
      <c r="B37" t="s">
        <v>22</v>
      </c>
      <c r="C37">
        <v>75</v>
      </c>
      <c r="D37" t="s">
        <v>6</v>
      </c>
      <c r="E37">
        <v>26</v>
      </c>
      <c r="F37">
        <v>2.4</v>
      </c>
      <c r="G37" s="8">
        <v>44941</v>
      </c>
      <c r="H37">
        <v>2023</v>
      </c>
      <c r="I37">
        <v>1</v>
      </c>
      <c r="J37">
        <v>1</v>
      </c>
      <c r="K37" t="s">
        <v>1039</v>
      </c>
      <c r="L37" t="s">
        <v>1040</v>
      </c>
      <c r="M37">
        <v>2023</v>
      </c>
      <c r="N37" t="s">
        <v>1074</v>
      </c>
      <c r="O37">
        <v>2</v>
      </c>
    </row>
    <row r="38" spans="1:15" x14ac:dyDescent="0.25">
      <c r="A38" t="s">
        <v>62</v>
      </c>
      <c r="B38" t="s">
        <v>19</v>
      </c>
      <c r="C38">
        <v>94</v>
      </c>
      <c r="D38" t="s">
        <v>6</v>
      </c>
      <c r="E38">
        <v>120</v>
      </c>
      <c r="F38">
        <v>3.1</v>
      </c>
      <c r="G38" s="8">
        <v>44942</v>
      </c>
      <c r="H38">
        <v>2023</v>
      </c>
      <c r="I38">
        <v>1</v>
      </c>
      <c r="J38">
        <v>1</v>
      </c>
      <c r="K38" t="s">
        <v>1039</v>
      </c>
      <c r="L38" t="s">
        <v>1041</v>
      </c>
      <c r="M38">
        <v>2023</v>
      </c>
      <c r="N38" t="s">
        <v>1074</v>
      </c>
      <c r="O38">
        <v>3</v>
      </c>
    </row>
    <row r="39" spans="1:15" x14ac:dyDescent="0.25">
      <c r="A39" t="s">
        <v>63</v>
      </c>
      <c r="B39" t="s">
        <v>12</v>
      </c>
      <c r="C39">
        <v>90</v>
      </c>
      <c r="D39" t="s">
        <v>9</v>
      </c>
      <c r="E39">
        <v>132</v>
      </c>
      <c r="F39">
        <v>3.2</v>
      </c>
      <c r="G39" s="8">
        <v>44942</v>
      </c>
      <c r="H39">
        <v>2023</v>
      </c>
      <c r="I39">
        <v>1</v>
      </c>
      <c r="J39">
        <v>1</v>
      </c>
      <c r="K39" t="s">
        <v>1039</v>
      </c>
      <c r="L39" t="s">
        <v>1041</v>
      </c>
      <c r="M39">
        <v>2023</v>
      </c>
      <c r="N39" t="s">
        <v>1074</v>
      </c>
      <c r="O39">
        <v>3</v>
      </c>
    </row>
    <row r="40" spans="1:15" x14ac:dyDescent="0.25">
      <c r="A40" t="s">
        <v>64</v>
      </c>
      <c r="B40" t="s">
        <v>19</v>
      </c>
      <c r="C40">
        <v>81</v>
      </c>
      <c r="D40" t="s">
        <v>13</v>
      </c>
      <c r="E40">
        <v>86</v>
      </c>
      <c r="F40">
        <v>2.4</v>
      </c>
      <c r="G40" s="8">
        <v>44943</v>
      </c>
      <c r="H40">
        <v>2023</v>
      </c>
      <c r="I40">
        <v>1</v>
      </c>
      <c r="J40">
        <v>1</v>
      </c>
      <c r="K40" t="s">
        <v>1039</v>
      </c>
      <c r="L40" t="s">
        <v>1042</v>
      </c>
      <c r="M40">
        <v>2023</v>
      </c>
      <c r="N40" t="s">
        <v>1074</v>
      </c>
      <c r="O40">
        <v>2</v>
      </c>
    </row>
    <row r="41" spans="1:15" x14ac:dyDescent="0.25">
      <c r="A41" t="s">
        <v>65</v>
      </c>
      <c r="B41" t="s">
        <v>22</v>
      </c>
      <c r="C41">
        <v>106</v>
      </c>
      <c r="D41" t="s">
        <v>10</v>
      </c>
      <c r="E41">
        <v>108</v>
      </c>
      <c r="F41">
        <v>5</v>
      </c>
      <c r="G41" s="8">
        <v>44943</v>
      </c>
      <c r="H41">
        <v>2023</v>
      </c>
      <c r="I41">
        <v>1</v>
      </c>
      <c r="J41">
        <v>1</v>
      </c>
      <c r="K41" t="s">
        <v>1039</v>
      </c>
      <c r="L41" t="s">
        <v>1042</v>
      </c>
      <c r="M41">
        <v>2023</v>
      </c>
      <c r="N41" t="s">
        <v>1074</v>
      </c>
      <c r="O41">
        <v>5</v>
      </c>
    </row>
    <row r="42" spans="1:15" x14ac:dyDescent="0.25">
      <c r="A42" t="s">
        <v>66</v>
      </c>
      <c r="B42" t="s">
        <v>12</v>
      </c>
      <c r="C42">
        <v>74</v>
      </c>
      <c r="D42" t="s">
        <v>13</v>
      </c>
      <c r="E42">
        <v>96</v>
      </c>
      <c r="F42">
        <v>4.7</v>
      </c>
      <c r="G42" s="8">
        <v>44943</v>
      </c>
      <c r="H42">
        <v>2023</v>
      </c>
      <c r="I42">
        <v>1</v>
      </c>
      <c r="J42">
        <v>1</v>
      </c>
      <c r="K42" t="s">
        <v>1039</v>
      </c>
      <c r="L42" t="s">
        <v>1042</v>
      </c>
      <c r="M42">
        <v>2023</v>
      </c>
      <c r="N42" t="s">
        <v>1074</v>
      </c>
      <c r="O42">
        <v>5</v>
      </c>
    </row>
    <row r="43" spans="1:15" x14ac:dyDescent="0.25">
      <c r="A43" t="s">
        <v>67</v>
      </c>
      <c r="B43" t="s">
        <v>18</v>
      </c>
      <c r="C43">
        <v>105</v>
      </c>
      <c r="D43" t="s">
        <v>9</v>
      </c>
      <c r="E43">
        <v>80</v>
      </c>
      <c r="F43">
        <v>4.7</v>
      </c>
      <c r="G43" s="8">
        <v>44944</v>
      </c>
      <c r="H43">
        <v>2023</v>
      </c>
      <c r="I43">
        <v>1</v>
      </c>
      <c r="J43">
        <v>1</v>
      </c>
      <c r="K43" t="s">
        <v>1039</v>
      </c>
      <c r="L43" t="s">
        <v>1043</v>
      </c>
      <c r="M43">
        <v>2023</v>
      </c>
      <c r="N43" t="s">
        <v>1074</v>
      </c>
      <c r="O43">
        <v>5</v>
      </c>
    </row>
    <row r="44" spans="1:15" x14ac:dyDescent="0.25">
      <c r="A44" t="s">
        <v>68</v>
      </c>
      <c r="B44" t="s">
        <v>22</v>
      </c>
      <c r="C44">
        <v>89</v>
      </c>
      <c r="D44" t="s">
        <v>10</v>
      </c>
      <c r="E44">
        <v>155</v>
      </c>
      <c r="F44">
        <v>4.0999999999999996</v>
      </c>
      <c r="G44" s="8">
        <v>44944</v>
      </c>
      <c r="H44">
        <v>2023</v>
      </c>
      <c r="I44">
        <v>1</v>
      </c>
      <c r="J44">
        <v>1</v>
      </c>
      <c r="K44" t="s">
        <v>1039</v>
      </c>
      <c r="L44" t="s">
        <v>1043</v>
      </c>
      <c r="M44">
        <v>2023</v>
      </c>
      <c r="N44" t="s">
        <v>1074</v>
      </c>
      <c r="O44">
        <v>4</v>
      </c>
    </row>
    <row r="45" spans="1:15" x14ac:dyDescent="0.25">
      <c r="A45" t="s">
        <v>69</v>
      </c>
      <c r="B45" t="s">
        <v>14</v>
      </c>
      <c r="C45">
        <v>132</v>
      </c>
      <c r="D45" t="s">
        <v>6</v>
      </c>
      <c r="E45">
        <v>168</v>
      </c>
      <c r="F45">
        <v>4.0999999999999996</v>
      </c>
      <c r="G45" s="8">
        <v>44944</v>
      </c>
      <c r="H45">
        <v>2023</v>
      </c>
      <c r="I45">
        <v>1</v>
      </c>
      <c r="J45">
        <v>1</v>
      </c>
      <c r="K45" t="s">
        <v>1039</v>
      </c>
      <c r="L45" t="s">
        <v>1043</v>
      </c>
      <c r="M45">
        <v>2023</v>
      </c>
      <c r="N45" t="s">
        <v>1075</v>
      </c>
      <c r="O45">
        <v>4</v>
      </c>
    </row>
    <row r="46" spans="1:15" x14ac:dyDescent="0.25">
      <c r="A46" t="s">
        <v>70</v>
      </c>
      <c r="B46" t="s">
        <v>17</v>
      </c>
      <c r="C46">
        <v>105</v>
      </c>
      <c r="D46" t="s">
        <v>11</v>
      </c>
      <c r="E46">
        <v>56</v>
      </c>
      <c r="F46">
        <v>3.6</v>
      </c>
      <c r="G46" s="8">
        <v>44944</v>
      </c>
      <c r="H46">
        <v>2023</v>
      </c>
      <c r="I46">
        <v>1</v>
      </c>
      <c r="J46">
        <v>1</v>
      </c>
      <c r="K46" t="s">
        <v>1039</v>
      </c>
      <c r="L46" t="s">
        <v>1043</v>
      </c>
      <c r="M46">
        <v>2023</v>
      </c>
      <c r="N46" t="s">
        <v>1074</v>
      </c>
      <c r="O46">
        <v>4</v>
      </c>
    </row>
    <row r="47" spans="1:15" x14ac:dyDescent="0.25">
      <c r="A47" t="s">
        <v>71</v>
      </c>
      <c r="B47" t="s">
        <v>8</v>
      </c>
      <c r="C47">
        <v>13</v>
      </c>
      <c r="D47" t="s">
        <v>6</v>
      </c>
      <c r="E47">
        <v>32</v>
      </c>
      <c r="F47">
        <v>4.4000000000000004</v>
      </c>
      <c r="G47" s="8">
        <v>44945</v>
      </c>
      <c r="H47">
        <v>2023</v>
      </c>
      <c r="I47">
        <v>1</v>
      </c>
      <c r="J47">
        <v>1</v>
      </c>
      <c r="K47" t="s">
        <v>1039</v>
      </c>
      <c r="L47" t="s">
        <v>1044</v>
      </c>
      <c r="M47">
        <v>2023</v>
      </c>
      <c r="N47" t="s">
        <v>1077</v>
      </c>
      <c r="O47">
        <v>4</v>
      </c>
    </row>
    <row r="48" spans="1:15" x14ac:dyDescent="0.25">
      <c r="A48" t="s">
        <v>72</v>
      </c>
      <c r="B48" t="s">
        <v>21</v>
      </c>
      <c r="C48">
        <v>131</v>
      </c>
      <c r="D48" t="s">
        <v>11</v>
      </c>
      <c r="E48">
        <v>78</v>
      </c>
      <c r="F48">
        <v>4.4000000000000004</v>
      </c>
      <c r="G48" s="8">
        <v>44945</v>
      </c>
      <c r="H48">
        <v>2023</v>
      </c>
      <c r="I48">
        <v>1</v>
      </c>
      <c r="J48">
        <v>1</v>
      </c>
      <c r="K48" t="s">
        <v>1039</v>
      </c>
      <c r="L48" t="s">
        <v>1044</v>
      </c>
      <c r="M48">
        <v>2023</v>
      </c>
      <c r="N48" t="s">
        <v>1075</v>
      </c>
      <c r="O48">
        <v>4</v>
      </c>
    </row>
    <row r="49" spans="1:15" x14ac:dyDescent="0.25">
      <c r="A49" t="s">
        <v>73</v>
      </c>
      <c r="B49" t="s">
        <v>12</v>
      </c>
      <c r="C49">
        <v>104</v>
      </c>
      <c r="D49" t="s">
        <v>10</v>
      </c>
      <c r="E49">
        <v>86</v>
      </c>
      <c r="F49">
        <v>4</v>
      </c>
      <c r="G49" s="8">
        <v>44945</v>
      </c>
      <c r="H49">
        <v>2023</v>
      </c>
      <c r="I49">
        <v>1</v>
      </c>
      <c r="J49">
        <v>1</v>
      </c>
      <c r="K49" t="s">
        <v>1039</v>
      </c>
      <c r="L49" t="s">
        <v>1044</v>
      </c>
      <c r="M49">
        <v>2023</v>
      </c>
      <c r="N49" t="s">
        <v>1074</v>
      </c>
      <c r="O49">
        <v>4</v>
      </c>
    </row>
    <row r="50" spans="1:15" x14ac:dyDescent="0.25">
      <c r="A50" t="s">
        <v>74</v>
      </c>
      <c r="B50" t="s">
        <v>20</v>
      </c>
      <c r="C50">
        <v>90</v>
      </c>
      <c r="D50" t="s">
        <v>9</v>
      </c>
      <c r="E50">
        <v>64</v>
      </c>
      <c r="F50">
        <v>3.8</v>
      </c>
      <c r="G50" s="8">
        <v>44946</v>
      </c>
      <c r="H50">
        <v>2023</v>
      </c>
      <c r="I50">
        <v>1</v>
      </c>
      <c r="J50">
        <v>1</v>
      </c>
      <c r="K50" t="s">
        <v>1039</v>
      </c>
      <c r="L50" t="s">
        <v>1045</v>
      </c>
      <c r="M50">
        <v>2023</v>
      </c>
      <c r="N50" t="s">
        <v>1074</v>
      </c>
      <c r="O50">
        <v>4</v>
      </c>
    </row>
    <row r="51" spans="1:15" x14ac:dyDescent="0.25">
      <c r="A51" t="s">
        <v>75</v>
      </c>
      <c r="B51" t="s">
        <v>16</v>
      </c>
      <c r="C51">
        <v>37</v>
      </c>
      <c r="D51" t="s">
        <v>9</v>
      </c>
      <c r="E51">
        <v>96</v>
      </c>
      <c r="F51">
        <v>3.6</v>
      </c>
      <c r="G51" s="8">
        <v>44946</v>
      </c>
      <c r="H51">
        <v>2023</v>
      </c>
      <c r="I51">
        <v>1</v>
      </c>
      <c r="J51">
        <v>1</v>
      </c>
      <c r="K51" t="s">
        <v>1039</v>
      </c>
      <c r="L51" t="s">
        <v>1045</v>
      </c>
      <c r="M51">
        <v>2023</v>
      </c>
      <c r="N51" t="s">
        <v>1076</v>
      </c>
      <c r="O51">
        <v>4</v>
      </c>
    </row>
    <row r="52" spans="1:15" x14ac:dyDescent="0.25">
      <c r="A52" t="s">
        <v>76</v>
      </c>
      <c r="B52" t="s">
        <v>24</v>
      </c>
      <c r="C52">
        <v>149</v>
      </c>
      <c r="D52" t="s">
        <v>11</v>
      </c>
      <c r="E52">
        <v>72</v>
      </c>
      <c r="F52">
        <v>4.3</v>
      </c>
      <c r="G52" s="8">
        <v>44946</v>
      </c>
      <c r="H52">
        <v>2023</v>
      </c>
      <c r="I52">
        <v>1</v>
      </c>
      <c r="J52">
        <v>1</v>
      </c>
      <c r="K52" t="s">
        <v>1039</v>
      </c>
      <c r="L52" t="s">
        <v>1045</v>
      </c>
      <c r="M52">
        <v>2023</v>
      </c>
      <c r="N52" t="s">
        <v>1075</v>
      </c>
      <c r="O52">
        <v>4</v>
      </c>
    </row>
    <row r="53" spans="1:15" x14ac:dyDescent="0.25">
      <c r="A53" t="s">
        <v>77</v>
      </c>
      <c r="B53" t="s">
        <v>14</v>
      </c>
      <c r="C53">
        <v>100</v>
      </c>
      <c r="D53" t="s">
        <v>13</v>
      </c>
      <c r="E53">
        <v>135</v>
      </c>
      <c r="F53">
        <v>3.8</v>
      </c>
      <c r="G53" s="8">
        <v>44947</v>
      </c>
      <c r="H53">
        <v>2023</v>
      </c>
      <c r="I53">
        <v>1</v>
      </c>
      <c r="J53">
        <v>1</v>
      </c>
      <c r="K53" t="s">
        <v>1039</v>
      </c>
      <c r="L53" t="s">
        <v>1046</v>
      </c>
      <c r="M53">
        <v>2023</v>
      </c>
      <c r="N53" t="s">
        <v>1074</v>
      </c>
      <c r="O53">
        <v>4</v>
      </c>
    </row>
    <row r="54" spans="1:15" x14ac:dyDescent="0.25">
      <c r="A54" t="s">
        <v>78</v>
      </c>
      <c r="B54" t="s">
        <v>14</v>
      </c>
      <c r="C54">
        <v>79</v>
      </c>
      <c r="D54" t="s">
        <v>6</v>
      </c>
      <c r="E54">
        <v>140</v>
      </c>
      <c r="F54">
        <v>4.5</v>
      </c>
      <c r="G54" s="8">
        <v>44947</v>
      </c>
      <c r="H54">
        <v>2023</v>
      </c>
      <c r="I54">
        <v>1</v>
      </c>
      <c r="J54">
        <v>1</v>
      </c>
      <c r="K54" t="s">
        <v>1039</v>
      </c>
      <c r="L54" t="s">
        <v>1046</v>
      </c>
      <c r="M54">
        <v>2023</v>
      </c>
      <c r="N54" t="s">
        <v>1074</v>
      </c>
      <c r="O54">
        <v>4</v>
      </c>
    </row>
    <row r="55" spans="1:15" x14ac:dyDescent="0.25">
      <c r="A55" t="s">
        <v>79</v>
      </c>
      <c r="B55" t="s">
        <v>5</v>
      </c>
      <c r="C55">
        <v>157</v>
      </c>
      <c r="D55" t="s">
        <v>11</v>
      </c>
      <c r="E55">
        <v>69</v>
      </c>
      <c r="F55">
        <v>4.5</v>
      </c>
      <c r="G55" s="8">
        <v>44947</v>
      </c>
      <c r="H55">
        <v>2023</v>
      </c>
      <c r="I55">
        <v>1</v>
      </c>
      <c r="J55">
        <v>1</v>
      </c>
      <c r="K55" t="s">
        <v>1039</v>
      </c>
      <c r="L55" t="s">
        <v>1046</v>
      </c>
      <c r="M55">
        <v>2023</v>
      </c>
      <c r="N55" t="s">
        <v>1075</v>
      </c>
      <c r="O55">
        <v>4</v>
      </c>
    </row>
    <row r="56" spans="1:15" x14ac:dyDescent="0.25">
      <c r="A56" t="s">
        <v>80</v>
      </c>
      <c r="B56" t="s">
        <v>14</v>
      </c>
      <c r="C56">
        <v>59</v>
      </c>
      <c r="D56" t="s">
        <v>10</v>
      </c>
      <c r="E56">
        <v>136</v>
      </c>
      <c r="F56">
        <v>4.5999999999999996</v>
      </c>
      <c r="G56" s="8">
        <v>44948</v>
      </c>
      <c r="H56">
        <v>2023</v>
      </c>
      <c r="I56">
        <v>1</v>
      </c>
      <c r="J56">
        <v>1</v>
      </c>
      <c r="K56" t="s">
        <v>1039</v>
      </c>
      <c r="L56" t="s">
        <v>1040</v>
      </c>
      <c r="M56">
        <v>2023</v>
      </c>
      <c r="N56" t="s">
        <v>1076</v>
      </c>
      <c r="O56">
        <v>5</v>
      </c>
    </row>
    <row r="57" spans="1:15" x14ac:dyDescent="0.25">
      <c r="A57" t="s">
        <v>81</v>
      </c>
      <c r="B57" t="s">
        <v>16</v>
      </c>
      <c r="C57">
        <v>83</v>
      </c>
      <c r="D57" t="s">
        <v>11</v>
      </c>
      <c r="E57">
        <v>28</v>
      </c>
      <c r="F57">
        <v>4.5</v>
      </c>
      <c r="G57" s="8">
        <v>44948</v>
      </c>
      <c r="H57">
        <v>2023</v>
      </c>
      <c r="I57">
        <v>1</v>
      </c>
      <c r="J57">
        <v>1</v>
      </c>
      <c r="K57" t="s">
        <v>1039</v>
      </c>
      <c r="L57" t="s">
        <v>1040</v>
      </c>
      <c r="M57">
        <v>2023</v>
      </c>
      <c r="N57" t="s">
        <v>1074</v>
      </c>
      <c r="O57">
        <v>4</v>
      </c>
    </row>
    <row r="58" spans="1:15" x14ac:dyDescent="0.25">
      <c r="A58" t="s">
        <v>82</v>
      </c>
      <c r="B58" t="s">
        <v>5</v>
      </c>
      <c r="C58">
        <v>58</v>
      </c>
      <c r="D58" t="s">
        <v>9</v>
      </c>
      <c r="E58">
        <v>135</v>
      </c>
      <c r="F58">
        <v>3.3</v>
      </c>
      <c r="G58" s="8">
        <v>44949</v>
      </c>
      <c r="H58">
        <v>2023</v>
      </c>
      <c r="I58">
        <v>1</v>
      </c>
      <c r="J58">
        <v>1</v>
      </c>
      <c r="K58" t="s">
        <v>1039</v>
      </c>
      <c r="L58" t="s">
        <v>1041</v>
      </c>
      <c r="M58">
        <v>2023</v>
      </c>
      <c r="N58" t="s">
        <v>1076</v>
      </c>
      <c r="O58">
        <v>3</v>
      </c>
    </row>
    <row r="59" spans="1:15" x14ac:dyDescent="0.25">
      <c r="A59" t="s">
        <v>83</v>
      </c>
      <c r="B59" t="s">
        <v>19</v>
      </c>
      <c r="C59">
        <v>118</v>
      </c>
      <c r="D59" t="s">
        <v>9</v>
      </c>
      <c r="E59">
        <v>126</v>
      </c>
      <c r="F59">
        <v>2.2999999999999998</v>
      </c>
      <c r="G59" s="8">
        <v>44949</v>
      </c>
      <c r="H59">
        <v>2023</v>
      </c>
      <c r="I59">
        <v>1</v>
      </c>
      <c r="J59">
        <v>1</v>
      </c>
      <c r="K59" t="s">
        <v>1039</v>
      </c>
      <c r="L59" t="s">
        <v>1041</v>
      </c>
      <c r="M59">
        <v>2023</v>
      </c>
      <c r="N59" t="s">
        <v>1074</v>
      </c>
      <c r="O59">
        <v>2</v>
      </c>
    </row>
    <row r="60" spans="1:15" x14ac:dyDescent="0.25">
      <c r="A60" t="s">
        <v>84</v>
      </c>
      <c r="B60" t="s">
        <v>8</v>
      </c>
      <c r="C60">
        <v>63</v>
      </c>
      <c r="D60" t="s">
        <v>10</v>
      </c>
      <c r="E60">
        <v>160</v>
      </c>
      <c r="F60">
        <v>4.3</v>
      </c>
      <c r="G60" s="8">
        <v>44949</v>
      </c>
      <c r="H60">
        <v>2023</v>
      </c>
      <c r="I60">
        <v>1</v>
      </c>
      <c r="J60">
        <v>1</v>
      </c>
      <c r="K60" t="s">
        <v>1039</v>
      </c>
      <c r="L60" t="s">
        <v>1041</v>
      </c>
      <c r="M60">
        <v>2023</v>
      </c>
      <c r="N60" t="s">
        <v>1074</v>
      </c>
      <c r="O60">
        <v>4</v>
      </c>
    </row>
    <row r="61" spans="1:15" x14ac:dyDescent="0.25">
      <c r="A61" t="s">
        <v>85</v>
      </c>
      <c r="B61" t="s">
        <v>5</v>
      </c>
      <c r="C61">
        <v>95</v>
      </c>
      <c r="D61" t="s">
        <v>9</v>
      </c>
      <c r="E61">
        <v>48</v>
      </c>
      <c r="F61">
        <v>4.5999999999999996</v>
      </c>
      <c r="G61" s="8">
        <v>44950</v>
      </c>
      <c r="H61">
        <v>2023</v>
      </c>
      <c r="I61">
        <v>1</v>
      </c>
      <c r="J61">
        <v>1</v>
      </c>
      <c r="K61" t="s">
        <v>1039</v>
      </c>
      <c r="L61" t="s">
        <v>1042</v>
      </c>
      <c r="M61">
        <v>2023</v>
      </c>
      <c r="N61" t="s">
        <v>1074</v>
      </c>
      <c r="O61">
        <v>5</v>
      </c>
    </row>
    <row r="62" spans="1:15" x14ac:dyDescent="0.25">
      <c r="A62" t="s">
        <v>86</v>
      </c>
      <c r="B62" t="s">
        <v>14</v>
      </c>
      <c r="C62">
        <v>74</v>
      </c>
      <c r="D62" t="s">
        <v>11</v>
      </c>
      <c r="E62">
        <v>66</v>
      </c>
      <c r="F62">
        <v>4</v>
      </c>
      <c r="G62" s="8">
        <v>44950</v>
      </c>
      <c r="H62">
        <v>2023</v>
      </c>
      <c r="I62">
        <v>1</v>
      </c>
      <c r="J62">
        <v>1</v>
      </c>
      <c r="K62" t="s">
        <v>1039</v>
      </c>
      <c r="L62" t="s">
        <v>1042</v>
      </c>
      <c r="M62">
        <v>2023</v>
      </c>
      <c r="N62" t="s">
        <v>1074</v>
      </c>
      <c r="O62">
        <v>4</v>
      </c>
    </row>
    <row r="63" spans="1:15" x14ac:dyDescent="0.25">
      <c r="A63" t="s">
        <v>87</v>
      </c>
      <c r="B63" t="s">
        <v>18</v>
      </c>
      <c r="C63">
        <v>130</v>
      </c>
      <c r="D63" t="s">
        <v>13</v>
      </c>
      <c r="E63">
        <v>126</v>
      </c>
      <c r="F63">
        <v>2.5</v>
      </c>
      <c r="G63" s="8">
        <v>44950</v>
      </c>
      <c r="H63">
        <v>2023</v>
      </c>
      <c r="I63">
        <v>1</v>
      </c>
      <c r="J63">
        <v>1</v>
      </c>
      <c r="K63" t="s">
        <v>1039</v>
      </c>
      <c r="L63" t="s">
        <v>1042</v>
      </c>
      <c r="M63">
        <v>2023</v>
      </c>
      <c r="N63" t="s">
        <v>1075</v>
      </c>
      <c r="O63">
        <v>2</v>
      </c>
    </row>
    <row r="64" spans="1:15" x14ac:dyDescent="0.25">
      <c r="A64" t="s">
        <v>88</v>
      </c>
      <c r="B64" t="s">
        <v>19</v>
      </c>
      <c r="C64">
        <v>110</v>
      </c>
      <c r="D64" t="s">
        <v>6</v>
      </c>
      <c r="E64">
        <v>96</v>
      </c>
      <c r="F64">
        <v>5</v>
      </c>
      <c r="G64" s="8">
        <v>44950</v>
      </c>
      <c r="H64">
        <v>2023</v>
      </c>
      <c r="I64">
        <v>1</v>
      </c>
      <c r="J64">
        <v>1</v>
      </c>
      <c r="K64" t="s">
        <v>1039</v>
      </c>
      <c r="L64" t="s">
        <v>1042</v>
      </c>
      <c r="M64">
        <v>2023</v>
      </c>
      <c r="N64" t="s">
        <v>1074</v>
      </c>
      <c r="O64">
        <v>5</v>
      </c>
    </row>
    <row r="65" spans="1:15" x14ac:dyDescent="0.25">
      <c r="A65" t="s">
        <v>89</v>
      </c>
      <c r="B65" t="s">
        <v>14</v>
      </c>
      <c r="C65">
        <v>71</v>
      </c>
      <c r="D65" t="s">
        <v>10</v>
      </c>
      <c r="E65">
        <v>90</v>
      </c>
      <c r="F65">
        <v>3.8</v>
      </c>
      <c r="G65" s="8">
        <v>44951</v>
      </c>
      <c r="H65">
        <v>2023</v>
      </c>
      <c r="I65">
        <v>1</v>
      </c>
      <c r="J65">
        <v>1</v>
      </c>
      <c r="K65" t="s">
        <v>1039</v>
      </c>
      <c r="L65" t="s">
        <v>1043</v>
      </c>
      <c r="M65">
        <v>2023</v>
      </c>
      <c r="N65" t="s">
        <v>1074</v>
      </c>
      <c r="O65">
        <v>4</v>
      </c>
    </row>
    <row r="66" spans="1:15" x14ac:dyDescent="0.25">
      <c r="A66" t="s">
        <v>90</v>
      </c>
      <c r="B66" t="s">
        <v>17</v>
      </c>
      <c r="C66">
        <v>147</v>
      </c>
      <c r="D66" t="s">
        <v>13</v>
      </c>
      <c r="E66">
        <v>105</v>
      </c>
      <c r="F66">
        <v>4.4000000000000004</v>
      </c>
      <c r="G66" s="8">
        <v>44951</v>
      </c>
      <c r="H66">
        <v>2023</v>
      </c>
      <c r="I66">
        <v>1</v>
      </c>
      <c r="J66">
        <v>1</v>
      </c>
      <c r="K66" t="s">
        <v>1039</v>
      </c>
      <c r="L66" t="s">
        <v>1043</v>
      </c>
      <c r="M66">
        <v>2023</v>
      </c>
      <c r="N66" t="s">
        <v>1075</v>
      </c>
      <c r="O66">
        <v>4</v>
      </c>
    </row>
    <row r="67" spans="1:15" x14ac:dyDescent="0.25">
      <c r="A67" t="s">
        <v>91</v>
      </c>
      <c r="B67" t="s">
        <v>12</v>
      </c>
      <c r="C67">
        <v>69</v>
      </c>
      <c r="D67" t="s">
        <v>9</v>
      </c>
      <c r="E67">
        <v>40</v>
      </c>
      <c r="F67">
        <v>3.8</v>
      </c>
      <c r="G67" s="8">
        <v>44952</v>
      </c>
      <c r="H67">
        <v>2023</v>
      </c>
      <c r="I67">
        <v>1</v>
      </c>
      <c r="J67">
        <v>1</v>
      </c>
      <c r="K67" t="s">
        <v>1039</v>
      </c>
      <c r="L67" t="s">
        <v>1044</v>
      </c>
      <c r="M67">
        <v>2023</v>
      </c>
      <c r="N67" t="s">
        <v>1074</v>
      </c>
      <c r="O67">
        <v>4</v>
      </c>
    </row>
    <row r="68" spans="1:15" x14ac:dyDescent="0.25">
      <c r="A68" t="s">
        <v>92</v>
      </c>
      <c r="B68" t="s">
        <v>19</v>
      </c>
      <c r="C68">
        <v>50</v>
      </c>
      <c r="D68" t="s">
        <v>10</v>
      </c>
      <c r="E68">
        <v>60</v>
      </c>
      <c r="F68">
        <v>2</v>
      </c>
      <c r="G68" s="8">
        <v>44952</v>
      </c>
      <c r="H68">
        <v>2023</v>
      </c>
      <c r="I68">
        <v>1</v>
      </c>
      <c r="J68">
        <v>1</v>
      </c>
      <c r="K68" t="s">
        <v>1039</v>
      </c>
      <c r="L68" t="s">
        <v>1044</v>
      </c>
      <c r="M68">
        <v>2023</v>
      </c>
      <c r="N68" t="s">
        <v>1076</v>
      </c>
      <c r="O68">
        <v>2</v>
      </c>
    </row>
    <row r="69" spans="1:15" x14ac:dyDescent="0.25">
      <c r="A69" t="s">
        <v>93</v>
      </c>
      <c r="B69" t="s">
        <v>18</v>
      </c>
      <c r="C69">
        <v>124</v>
      </c>
      <c r="D69" t="s">
        <v>13</v>
      </c>
      <c r="E69">
        <v>215</v>
      </c>
      <c r="F69">
        <v>4.0999999999999996</v>
      </c>
      <c r="G69" s="8">
        <v>44953</v>
      </c>
      <c r="H69">
        <v>2023</v>
      </c>
      <c r="I69">
        <v>1</v>
      </c>
      <c r="J69">
        <v>1</v>
      </c>
      <c r="K69" t="s">
        <v>1039</v>
      </c>
      <c r="L69" t="s">
        <v>1045</v>
      </c>
      <c r="M69">
        <v>2023</v>
      </c>
      <c r="N69" t="s">
        <v>1075</v>
      </c>
      <c r="O69">
        <v>4</v>
      </c>
    </row>
    <row r="70" spans="1:15" x14ac:dyDescent="0.25">
      <c r="A70" t="s">
        <v>94</v>
      </c>
      <c r="B70" t="s">
        <v>23</v>
      </c>
      <c r="C70">
        <v>81</v>
      </c>
      <c r="D70" t="s">
        <v>11</v>
      </c>
      <c r="E70">
        <v>156</v>
      </c>
      <c r="F70">
        <v>2.6</v>
      </c>
      <c r="G70" s="8">
        <v>44953</v>
      </c>
      <c r="H70">
        <v>2023</v>
      </c>
      <c r="I70">
        <v>1</v>
      </c>
      <c r="J70">
        <v>1</v>
      </c>
      <c r="K70" t="s">
        <v>1039</v>
      </c>
      <c r="L70" t="s">
        <v>1045</v>
      </c>
      <c r="M70">
        <v>2023</v>
      </c>
      <c r="N70" t="s">
        <v>1074</v>
      </c>
      <c r="O70">
        <v>3</v>
      </c>
    </row>
    <row r="71" spans="1:15" x14ac:dyDescent="0.25">
      <c r="A71" t="s">
        <v>96</v>
      </c>
      <c r="B71" t="s">
        <v>7</v>
      </c>
      <c r="C71">
        <v>168</v>
      </c>
      <c r="D71" t="s">
        <v>6</v>
      </c>
      <c r="E71">
        <v>160</v>
      </c>
      <c r="F71">
        <v>3.9</v>
      </c>
      <c r="G71" s="8">
        <v>44954</v>
      </c>
      <c r="H71">
        <v>2023</v>
      </c>
      <c r="I71">
        <v>1</v>
      </c>
      <c r="J71">
        <v>1</v>
      </c>
      <c r="K71" t="s">
        <v>1039</v>
      </c>
      <c r="L71" t="s">
        <v>1046</v>
      </c>
      <c r="M71">
        <v>2023</v>
      </c>
      <c r="N71" t="s">
        <v>1075</v>
      </c>
      <c r="O71">
        <v>4</v>
      </c>
    </row>
    <row r="72" spans="1:15" x14ac:dyDescent="0.25">
      <c r="A72" t="s">
        <v>97</v>
      </c>
      <c r="B72" t="s">
        <v>17</v>
      </c>
      <c r="C72">
        <v>101</v>
      </c>
      <c r="D72" t="s">
        <v>11</v>
      </c>
      <c r="E72">
        <v>80</v>
      </c>
      <c r="F72">
        <v>4.8</v>
      </c>
      <c r="G72" s="8">
        <v>44954</v>
      </c>
      <c r="H72">
        <v>2023</v>
      </c>
      <c r="I72">
        <v>1</v>
      </c>
      <c r="J72">
        <v>1</v>
      </c>
      <c r="K72" t="s">
        <v>1039</v>
      </c>
      <c r="L72" t="s">
        <v>1046</v>
      </c>
      <c r="M72">
        <v>2023</v>
      </c>
      <c r="N72" t="s">
        <v>1074</v>
      </c>
      <c r="O72">
        <v>5</v>
      </c>
    </row>
    <row r="73" spans="1:15" x14ac:dyDescent="0.25">
      <c r="A73" t="s">
        <v>98</v>
      </c>
      <c r="B73" t="s">
        <v>14</v>
      </c>
      <c r="C73">
        <v>67</v>
      </c>
      <c r="D73" t="s">
        <v>11</v>
      </c>
      <c r="E73">
        <v>168</v>
      </c>
      <c r="F73">
        <v>2.6</v>
      </c>
      <c r="G73" s="8">
        <v>44954</v>
      </c>
      <c r="H73">
        <v>2023</v>
      </c>
      <c r="I73">
        <v>1</v>
      </c>
      <c r="J73">
        <v>1</v>
      </c>
      <c r="K73" t="s">
        <v>1039</v>
      </c>
      <c r="L73" t="s">
        <v>1046</v>
      </c>
      <c r="M73">
        <v>2023</v>
      </c>
      <c r="N73" t="s">
        <v>1074</v>
      </c>
      <c r="O73">
        <v>3</v>
      </c>
    </row>
    <row r="74" spans="1:15" x14ac:dyDescent="0.25">
      <c r="A74" t="s">
        <v>99</v>
      </c>
      <c r="B74" t="s">
        <v>5</v>
      </c>
      <c r="C74">
        <v>114</v>
      </c>
      <c r="D74" t="s">
        <v>6</v>
      </c>
      <c r="E74">
        <v>42</v>
      </c>
      <c r="F74">
        <v>2.6</v>
      </c>
      <c r="G74" s="8">
        <v>44956</v>
      </c>
      <c r="H74">
        <v>2023</v>
      </c>
      <c r="I74">
        <v>1</v>
      </c>
      <c r="J74">
        <v>1</v>
      </c>
      <c r="K74" t="s">
        <v>1039</v>
      </c>
      <c r="L74" t="s">
        <v>1041</v>
      </c>
      <c r="M74">
        <v>2023</v>
      </c>
      <c r="N74" t="s">
        <v>1074</v>
      </c>
      <c r="O74">
        <v>3</v>
      </c>
    </row>
    <row r="75" spans="1:15" x14ac:dyDescent="0.25">
      <c r="A75" t="s">
        <v>100</v>
      </c>
      <c r="B75" t="s">
        <v>23</v>
      </c>
      <c r="C75">
        <v>42</v>
      </c>
      <c r="D75" t="s">
        <v>11</v>
      </c>
      <c r="E75">
        <v>205</v>
      </c>
      <c r="F75">
        <v>3.6</v>
      </c>
      <c r="G75" s="8">
        <v>44956</v>
      </c>
      <c r="H75">
        <v>2023</v>
      </c>
      <c r="I75">
        <v>1</v>
      </c>
      <c r="J75">
        <v>1</v>
      </c>
      <c r="K75" t="s">
        <v>1039</v>
      </c>
      <c r="L75" t="s">
        <v>1041</v>
      </c>
      <c r="M75">
        <v>2023</v>
      </c>
      <c r="N75" t="s">
        <v>1076</v>
      </c>
      <c r="O75">
        <v>4</v>
      </c>
    </row>
    <row r="76" spans="1:15" x14ac:dyDescent="0.25">
      <c r="A76" t="s">
        <v>101</v>
      </c>
      <c r="B76" t="s">
        <v>8</v>
      </c>
      <c r="C76">
        <v>69</v>
      </c>
      <c r="D76" t="s">
        <v>6</v>
      </c>
      <c r="E76">
        <v>108</v>
      </c>
      <c r="F76">
        <v>3.3</v>
      </c>
      <c r="G76" s="8">
        <v>44956</v>
      </c>
      <c r="H76">
        <v>2023</v>
      </c>
      <c r="I76">
        <v>1</v>
      </c>
      <c r="J76">
        <v>1</v>
      </c>
      <c r="K76" t="s">
        <v>1039</v>
      </c>
      <c r="L76" t="s">
        <v>1041</v>
      </c>
      <c r="M76">
        <v>2023</v>
      </c>
      <c r="N76" t="s">
        <v>1074</v>
      </c>
      <c r="O76">
        <v>3</v>
      </c>
    </row>
    <row r="77" spans="1:15" x14ac:dyDescent="0.25">
      <c r="A77" t="s">
        <v>102</v>
      </c>
      <c r="B77" t="s">
        <v>18</v>
      </c>
      <c r="C77">
        <v>145</v>
      </c>
      <c r="D77" t="s">
        <v>9</v>
      </c>
      <c r="E77">
        <v>78</v>
      </c>
      <c r="F77">
        <v>1.9</v>
      </c>
      <c r="G77" s="8">
        <v>44956</v>
      </c>
      <c r="H77">
        <v>2023</v>
      </c>
      <c r="I77">
        <v>1</v>
      </c>
      <c r="J77">
        <v>1</v>
      </c>
      <c r="K77" t="s">
        <v>1039</v>
      </c>
      <c r="L77" t="s">
        <v>1041</v>
      </c>
      <c r="M77">
        <v>2023</v>
      </c>
      <c r="N77" t="s">
        <v>1075</v>
      </c>
      <c r="O77">
        <v>2</v>
      </c>
    </row>
    <row r="78" spans="1:15" x14ac:dyDescent="0.25">
      <c r="A78" t="s">
        <v>103</v>
      </c>
      <c r="B78" t="s">
        <v>12</v>
      </c>
      <c r="C78">
        <v>43</v>
      </c>
      <c r="D78" t="s">
        <v>6</v>
      </c>
      <c r="E78">
        <v>23</v>
      </c>
      <c r="F78">
        <v>4.9000000000000004</v>
      </c>
      <c r="G78" s="8">
        <v>44956</v>
      </c>
      <c r="H78">
        <v>2023</v>
      </c>
      <c r="I78">
        <v>1</v>
      </c>
      <c r="J78">
        <v>1</v>
      </c>
      <c r="K78" t="s">
        <v>1039</v>
      </c>
      <c r="L78" t="s">
        <v>1041</v>
      </c>
      <c r="M78">
        <v>2023</v>
      </c>
      <c r="N78" t="s">
        <v>1076</v>
      </c>
      <c r="O78">
        <v>5</v>
      </c>
    </row>
    <row r="79" spans="1:15" x14ac:dyDescent="0.25">
      <c r="A79" t="s">
        <v>104</v>
      </c>
      <c r="B79" t="s">
        <v>8</v>
      </c>
      <c r="C79">
        <v>62</v>
      </c>
      <c r="D79" t="s">
        <v>10</v>
      </c>
      <c r="E79">
        <v>99</v>
      </c>
      <c r="F79">
        <v>3.6</v>
      </c>
      <c r="G79" s="8">
        <v>44957</v>
      </c>
      <c r="H79">
        <v>2023</v>
      </c>
      <c r="I79">
        <v>1</v>
      </c>
      <c r="J79">
        <v>1</v>
      </c>
      <c r="K79" t="s">
        <v>1039</v>
      </c>
      <c r="L79" t="s">
        <v>1042</v>
      </c>
      <c r="M79">
        <v>2023</v>
      </c>
      <c r="N79" t="s">
        <v>1074</v>
      </c>
      <c r="O79">
        <v>4</v>
      </c>
    </row>
    <row r="80" spans="1:15" x14ac:dyDescent="0.25">
      <c r="A80" t="s">
        <v>105</v>
      </c>
      <c r="B80" t="s">
        <v>22</v>
      </c>
      <c r="C80">
        <v>79</v>
      </c>
      <c r="D80" t="s">
        <v>6</v>
      </c>
      <c r="E80">
        <v>148</v>
      </c>
      <c r="F80">
        <v>4.5</v>
      </c>
      <c r="G80" s="8">
        <v>44958</v>
      </c>
      <c r="H80">
        <v>2023</v>
      </c>
      <c r="I80">
        <v>1</v>
      </c>
      <c r="J80">
        <v>2</v>
      </c>
      <c r="K80" t="s">
        <v>1047</v>
      </c>
      <c r="L80" t="s">
        <v>1043</v>
      </c>
      <c r="M80">
        <v>2023</v>
      </c>
      <c r="N80" t="s">
        <v>1074</v>
      </c>
      <c r="O80">
        <v>4</v>
      </c>
    </row>
    <row r="81" spans="1:15" x14ac:dyDescent="0.25">
      <c r="A81" t="s">
        <v>106</v>
      </c>
      <c r="B81" t="s">
        <v>18</v>
      </c>
      <c r="C81">
        <v>45</v>
      </c>
      <c r="D81" t="s">
        <v>13</v>
      </c>
      <c r="E81">
        <v>34</v>
      </c>
      <c r="F81">
        <v>3.7</v>
      </c>
      <c r="G81" s="8">
        <v>44958</v>
      </c>
      <c r="H81">
        <v>2023</v>
      </c>
      <c r="I81">
        <v>1</v>
      </c>
      <c r="J81">
        <v>2</v>
      </c>
      <c r="K81" t="s">
        <v>1047</v>
      </c>
      <c r="L81" t="s">
        <v>1043</v>
      </c>
      <c r="M81">
        <v>2023</v>
      </c>
      <c r="N81" t="s">
        <v>1076</v>
      </c>
      <c r="O81">
        <v>4</v>
      </c>
    </row>
    <row r="82" spans="1:15" x14ac:dyDescent="0.25">
      <c r="A82" t="s">
        <v>107</v>
      </c>
      <c r="B82" t="s">
        <v>8</v>
      </c>
      <c r="C82">
        <v>137</v>
      </c>
      <c r="D82" t="s">
        <v>6</v>
      </c>
      <c r="E82">
        <v>86</v>
      </c>
      <c r="F82">
        <v>4.8</v>
      </c>
      <c r="G82" s="8">
        <v>44958</v>
      </c>
      <c r="H82">
        <v>2023</v>
      </c>
      <c r="I82">
        <v>1</v>
      </c>
      <c r="J82">
        <v>2</v>
      </c>
      <c r="K82" t="s">
        <v>1047</v>
      </c>
      <c r="L82" t="s">
        <v>1043</v>
      </c>
      <c r="M82">
        <v>2023</v>
      </c>
      <c r="N82" t="s">
        <v>1075</v>
      </c>
      <c r="O82">
        <v>5</v>
      </c>
    </row>
    <row r="83" spans="1:15" x14ac:dyDescent="0.25">
      <c r="A83" t="s">
        <v>108</v>
      </c>
      <c r="B83" t="s">
        <v>5</v>
      </c>
      <c r="C83">
        <v>109</v>
      </c>
      <c r="D83" t="s">
        <v>10</v>
      </c>
      <c r="E83">
        <v>105</v>
      </c>
      <c r="F83">
        <v>3.3</v>
      </c>
      <c r="G83" s="8">
        <v>44958</v>
      </c>
      <c r="H83">
        <v>2023</v>
      </c>
      <c r="I83">
        <v>1</v>
      </c>
      <c r="J83">
        <v>2</v>
      </c>
      <c r="K83" t="s">
        <v>1047</v>
      </c>
      <c r="L83" t="s">
        <v>1043</v>
      </c>
      <c r="M83">
        <v>2023</v>
      </c>
      <c r="N83" t="s">
        <v>1074</v>
      </c>
      <c r="O83">
        <v>3</v>
      </c>
    </row>
    <row r="84" spans="1:15" x14ac:dyDescent="0.25">
      <c r="A84" t="s">
        <v>109</v>
      </c>
      <c r="B84" t="s">
        <v>12</v>
      </c>
      <c r="C84">
        <v>78</v>
      </c>
      <c r="D84" t="s">
        <v>10</v>
      </c>
      <c r="E84">
        <v>62</v>
      </c>
      <c r="F84">
        <v>3.1</v>
      </c>
      <c r="G84" s="8">
        <v>44958</v>
      </c>
      <c r="H84">
        <v>2023</v>
      </c>
      <c r="I84">
        <v>1</v>
      </c>
      <c r="J84">
        <v>2</v>
      </c>
      <c r="K84" t="s">
        <v>1047</v>
      </c>
      <c r="L84" t="s">
        <v>1043</v>
      </c>
      <c r="M84">
        <v>2023</v>
      </c>
      <c r="N84" t="s">
        <v>1074</v>
      </c>
      <c r="O84">
        <v>3</v>
      </c>
    </row>
    <row r="85" spans="1:15" x14ac:dyDescent="0.25">
      <c r="A85" t="s">
        <v>110</v>
      </c>
      <c r="B85" t="s">
        <v>8</v>
      </c>
      <c r="C85">
        <v>137</v>
      </c>
      <c r="D85" t="s">
        <v>13</v>
      </c>
      <c r="E85">
        <v>90</v>
      </c>
      <c r="F85">
        <v>4.0999999999999996</v>
      </c>
      <c r="G85" s="8">
        <v>44958</v>
      </c>
      <c r="H85">
        <v>2023</v>
      </c>
      <c r="I85">
        <v>1</v>
      </c>
      <c r="J85">
        <v>2</v>
      </c>
      <c r="K85" t="s">
        <v>1047</v>
      </c>
      <c r="L85" t="s">
        <v>1043</v>
      </c>
      <c r="M85">
        <v>2023</v>
      </c>
      <c r="N85" t="s">
        <v>1075</v>
      </c>
      <c r="O85">
        <v>4</v>
      </c>
    </row>
    <row r="86" spans="1:15" x14ac:dyDescent="0.25">
      <c r="A86" t="s">
        <v>111</v>
      </c>
      <c r="B86" t="s">
        <v>21</v>
      </c>
      <c r="C86">
        <v>99</v>
      </c>
      <c r="D86" t="s">
        <v>10</v>
      </c>
      <c r="E86">
        <v>112</v>
      </c>
      <c r="F86">
        <v>4.9000000000000004</v>
      </c>
      <c r="G86" s="8">
        <v>44959</v>
      </c>
      <c r="H86">
        <v>2023</v>
      </c>
      <c r="I86">
        <v>1</v>
      </c>
      <c r="J86">
        <v>2</v>
      </c>
      <c r="K86" t="s">
        <v>1047</v>
      </c>
      <c r="L86" t="s">
        <v>1044</v>
      </c>
      <c r="M86">
        <v>2023</v>
      </c>
      <c r="N86" t="s">
        <v>1074</v>
      </c>
      <c r="O86">
        <v>5</v>
      </c>
    </row>
    <row r="87" spans="1:15" x14ac:dyDescent="0.25">
      <c r="A87" t="s">
        <v>112</v>
      </c>
      <c r="B87" t="s">
        <v>19</v>
      </c>
      <c r="C87">
        <v>100</v>
      </c>
      <c r="D87" t="s">
        <v>10</v>
      </c>
      <c r="E87">
        <v>135</v>
      </c>
      <c r="F87">
        <v>4</v>
      </c>
      <c r="G87" s="8">
        <v>44959</v>
      </c>
      <c r="H87">
        <v>2023</v>
      </c>
      <c r="I87">
        <v>1</v>
      </c>
      <c r="J87">
        <v>2</v>
      </c>
      <c r="K87" t="s">
        <v>1047</v>
      </c>
      <c r="L87" t="s">
        <v>1044</v>
      </c>
      <c r="M87">
        <v>2023</v>
      </c>
      <c r="N87" t="s">
        <v>1074</v>
      </c>
      <c r="O87">
        <v>4</v>
      </c>
    </row>
    <row r="88" spans="1:15" x14ac:dyDescent="0.25">
      <c r="A88" t="s">
        <v>113</v>
      </c>
      <c r="B88" t="s">
        <v>12</v>
      </c>
      <c r="C88">
        <v>47</v>
      </c>
      <c r="D88" t="s">
        <v>9</v>
      </c>
      <c r="E88">
        <v>34</v>
      </c>
      <c r="F88">
        <v>2.1</v>
      </c>
      <c r="G88" s="8">
        <v>44959</v>
      </c>
      <c r="H88">
        <v>2023</v>
      </c>
      <c r="I88">
        <v>1</v>
      </c>
      <c r="J88">
        <v>2</v>
      </c>
      <c r="K88" t="s">
        <v>1047</v>
      </c>
      <c r="L88" t="s">
        <v>1044</v>
      </c>
      <c r="M88">
        <v>2023</v>
      </c>
      <c r="N88" t="s">
        <v>1076</v>
      </c>
      <c r="O88">
        <v>2</v>
      </c>
    </row>
    <row r="89" spans="1:15" x14ac:dyDescent="0.25">
      <c r="A89" t="s">
        <v>114</v>
      </c>
      <c r="B89" t="s">
        <v>5</v>
      </c>
      <c r="C89">
        <v>87</v>
      </c>
      <c r="D89" t="s">
        <v>11</v>
      </c>
      <c r="E89">
        <v>155</v>
      </c>
      <c r="F89">
        <v>4.5</v>
      </c>
      <c r="G89" s="8">
        <v>44959</v>
      </c>
      <c r="H89">
        <v>2023</v>
      </c>
      <c r="I89">
        <v>1</v>
      </c>
      <c r="J89">
        <v>2</v>
      </c>
      <c r="K89" t="s">
        <v>1047</v>
      </c>
      <c r="L89" t="s">
        <v>1044</v>
      </c>
      <c r="M89">
        <v>2023</v>
      </c>
      <c r="N89" t="s">
        <v>1074</v>
      </c>
      <c r="O89">
        <v>4</v>
      </c>
    </row>
    <row r="90" spans="1:15" x14ac:dyDescent="0.25">
      <c r="A90" t="s">
        <v>115</v>
      </c>
      <c r="B90" t="s">
        <v>21</v>
      </c>
      <c r="C90">
        <v>143</v>
      </c>
      <c r="D90" t="s">
        <v>11</v>
      </c>
      <c r="E90">
        <v>124</v>
      </c>
      <c r="F90">
        <v>4.9000000000000004</v>
      </c>
      <c r="G90" s="8">
        <v>44961</v>
      </c>
      <c r="H90">
        <v>2023</v>
      </c>
      <c r="I90">
        <v>1</v>
      </c>
      <c r="J90">
        <v>2</v>
      </c>
      <c r="K90" t="s">
        <v>1047</v>
      </c>
      <c r="L90" t="s">
        <v>1046</v>
      </c>
      <c r="M90">
        <v>2023</v>
      </c>
      <c r="N90" t="s">
        <v>1075</v>
      </c>
      <c r="O90">
        <v>5</v>
      </c>
    </row>
    <row r="91" spans="1:15" x14ac:dyDescent="0.25">
      <c r="A91" t="s">
        <v>116</v>
      </c>
      <c r="B91" t="s">
        <v>19</v>
      </c>
      <c r="C91">
        <v>84</v>
      </c>
      <c r="D91" t="s">
        <v>10</v>
      </c>
      <c r="E91">
        <v>195</v>
      </c>
      <c r="F91">
        <v>4.0999999999999996</v>
      </c>
      <c r="G91" s="8">
        <v>44961</v>
      </c>
      <c r="H91">
        <v>2023</v>
      </c>
      <c r="I91">
        <v>1</v>
      </c>
      <c r="J91">
        <v>2</v>
      </c>
      <c r="K91" t="s">
        <v>1047</v>
      </c>
      <c r="L91" t="s">
        <v>1046</v>
      </c>
      <c r="M91">
        <v>2023</v>
      </c>
      <c r="N91" t="s">
        <v>1074</v>
      </c>
      <c r="O91">
        <v>4</v>
      </c>
    </row>
    <row r="92" spans="1:15" x14ac:dyDescent="0.25">
      <c r="A92" t="s">
        <v>117</v>
      </c>
      <c r="B92" t="s">
        <v>17</v>
      </c>
      <c r="C92">
        <v>55</v>
      </c>
      <c r="D92" t="s">
        <v>11</v>
      </c>
      <c r="E92">
        <v>78</v>
      </c>
      <c r="F92">
        <v>4.5</v>
      </c>
      <c r="G92" s="8">
        <v>44962</v>
      </c>
      <c r="H92">
        <v>2023</v>
      </c>
      <c r="I92">
        <v>1</v>
      </c>
      <c r="J92">
        <v>2</v>
      </c>
      <c r="K92" t="s">
        <v>1047</v>
      </c>
      <c r="L92" t="s">
        <v>1040</v>
      </c>
      <c r="M92">
        <v>2023</v>
      </c>
      <c r="N92" t="s">
        <v>1076</v>
      </c>
      <c r="O92">
        <v>4</v>
      </c>
    </row>
    <row r="93" spans="1:15" x14ac:dyDescent="0.25">
      <c r="A93" t="s">
        <v>118</v>
      </c>
      <c r="B93" t="s">
        <v>15</v>
      </c>
      <c r="C93">
        <v>135</v>
      </c>
      <c r="D93" t="s">
        <v>13</v>
      </c>
      <c r="E93">
        <v>35</v>
      </c>
      <c r="F93">
        <v>4.8</v>
      </c>
      <c r="G93" s="8">
        <v>44964</v>
      </c>
      <c r="H93">
        <v>2023</v>
      </c>
      <c r="I93">
        <v>1</v>
      </c>
      <c r="J93">
        <v>2</v>
      </c>
      <c r="K93" t="s">
        <v>1047</v>
      </c>
      <c r="L93" t="s">
        <v>1042</v>
      </c>
      <c r="M93">
        <v>2023</v>
      </c>
      <c r="N93" t="s">
        <v>1075</v>
      </c>
      <c r="O93">
        <v>5</v>
      </c>
    </row>
    <row r="94" spans="1:15" x14ac:dyDescent="0.25">
      <c r="A94" t="s">
        <v>119</v>
      </c>
      <c r="B94" t="s">
        <v>16</v>
      </c>
      <c r="C94">
        <v>152</v>
      </c>
      <c r="D94" t="s">
        <v>9</v>
      </c>
      <c r="E94">
        <v>123</v>
      </c>
      <c r="F94">
        <v>4.5999999999999996</v>
      </c>
      <c r="G94" s="8">
        <v>44964</v>
      </c>
      <c r="H94">
        <v>2023</v>
      </c>
      <c r="I94">
        <v>1</v>
      </c>
      <c r="J94">
        <v>2</v>
      </c>
      <c r="K94" t="s">
        <v>1047</v>
      </c>
      <c r="L94" t="s">
        <v>1042</v>
      </c>
      <c r="M94">
        <v>2023</v>
      </c>
      <c r="N94" t="s">
        <v>1075</v>
      </c>
      <c r="O94">
        <v>5</v>
      </c>
    </row>
    <row r="95" spans="1:15" x14ac:dyDescent="0.25">
      <c r="A95" t="s">
        <v>120</v>
      </c>
      <c r="B95" t="s">
        <v>23</v>
      </c>
      <c r="C95">
        <v>132</v>
      </c>
      <c r="D95" t="s">
        <v>9</v>
      </c>
      <c r="E95">
        <v>43</v>
      </c>
      <c r="F95">
        <v>4.5999999999999996</v>
      </c>
      <c r="G95" s="8">
        <v>44964</v>
      </c>
      <c r="H95">
        <v>2023</v>
      </c>
      <c r="I95">
        <v>1</v>
      </c>
      <c r="J95">
        <v>2</v>
      </c>
      <c r="K95" t="s">
        <v>1047</v>
      </c>
      <c r="L95" t="s">
        <v>1042</v>
      </c>
      <c r="M95">
        <v>2023</v>
      </c>
      <c r="N95" t="s">
        <v>1075</v>
      </c>
      <c r="O95">
        <v>5</v>
      </c>
    </row>
    <row r="96" spans="1:15" x14ac:dyDescent="0.25">
      <c r="A96" t="s">
        <v>121</v>
      </c>
      <c r="B96" t="s">
        <v>7</v>
      </c>
      <c r="C96">
        <v>60</v>
      </c>
      <c r="D96" t="s">
        <v>10</v>
      </c>
      <c r="E96">
        <v>69</v>
      </c>
      <c r="F96">
        <v>4.3</v>
      </c>
      <c r="G96" s="8">
        <v>44965</v>
      </c>
      <c r="H96">
        <v>2023</v>
      </c>
      <c r="I96">
        <v>1</v>
      </c>
      <c r="J96">
        <v>2</v>
      </c>
      <c r="K96" t="s">
        <v>1047</v>
      </c>
      <c r="L96" t="s">
        <v>1043</v>
      </c>
      <c r="M96">
        <v>2023</v>
      </c>
      <c r="N96" t="s">
        <v>1076</v>
      </c>
      <c r="O96">
        <v>4</v>
      </c>
    </row>
    <row r="97" spans="1:15" x14ac:dyDescent="0.25">
      <c r="A97" t="s">
        <v>122</v>
      </c>
      <c r="B97" t="s">
        <v>16</v>
      </c>
      <c r="C97">
        <v>95</v>
      </c>
      <c r="D97" t="s">
        <v>9</v>
      </c>
      <c r="E97">
        <v>130</v>
      </c>
      <c r="F97">
        <v>5</v>
      </c>
      <c r="G97" s="8">
        <v>44965</v>
      </c>
      <c r="H97">
        <v>2023</v>
      </c>
      <c r="I97">
        <v>1</v>
      </c>
      <c r="J97">
        <v>2</v>
      </c>
      <c r="K97" t="s">
        <v>1047</v>
      </c>
      <c r="L97" t="s">
        <v>1043</v>
      </c>
      <c r="M97">
        <v>2023</v>
      </c>
      <c r="N97" t="s">
        <v>1074</v>
      </c>
      <c r="O97">
        <v>5</v>
      </c>
    </row>
    <row r="98" spans="1:15" x14ac:dyDescent="0.25">
      <c r="A98" t="s">
        <v>123</v>
      </c>
      <c r="B98" t="s">
        <v>20</v>
      </c>
      <c r="C98">
        <v>96</v>
      </c>
      <c r="D98" t="s">
        <v>6</v>
      </c>
      <c r="E98">
        <v>120</v>
      </c>
      <c r="F98">
        <v>4</v>
      </c>
      <c r="G98" s="8">
        <v>44965</v>
      </c>
      <c r="H98">
        <v>2023</v>
      </c>
      <c r="I98">
        <v>1</v>
      </c>
      <c r="J98">
        <v>2</v>
      </c>
      <c r="K98" t="s">
        <v>1047</v>
      </c>
      <c r="L98" t="s">
        <v>1043</v>
      </c>
      <c r="M98">
        <v>2023</v>
      </c>
      <c r="N98" t="s">
        <v>1074</v>
      </c>
      <c r="O98">
        <v>4</v>
      </c>
    </row>
    <row r="99" spans="1:15" x14ac:dyDescent="0.25">
      <c r="A99" t="s">
        <v>124</v>
      </c>
      <c r="B99" t="s">
        <v>17</v>
      </c>
      <c r="C99">
        <v>45</v>
      </c>
      <c r="D99" t="s">
        <v>10</v>
      </c>
      <c r="E99">
        <v>84</v>
      </c>
      <c r="F99">
        <v>4.5999999999999996</v>
      </c>
      <c r="G99" s="8">
        <v>44966</v>
      </c>
      <c r="H99">
        <v>2023</v>
      </c>
      <c r="I99">
        <v>1</v>
      </c>
      <c r="J99">
        <v>2</v>
      </c>
      <c r="K99" t="s">
        <v>1047</v>
      </c>
      <c r="L99" t="s">
        <v>1044</v>
      </c>
      <c r="M99">
        <v>2023</v>
      </c>
      <c r="N99" t="s">
        <v>1076</v>
      </c>
      <c r="O99">
        <v>5</v>
      </c>
    </row>
    <row r="100" spans="1:15" x14ac:dyDescent="0.25">
      <c r="A100" t="s">
        <v>125</v>
      </c>
      <c r="B100" t="s">
        <v>20</v>
      </c>
      <c r="C100">
        <v>132</v>
      </c>
      <c r="D100" t="s">
        <v>6</v>
      </c>
      <c r="E100">
        <v>112</v>
      </c>
      <c r="F100">
        <v>4.5</v>
      </c>
      <c r="G100" s="8">
        <v>44967</v>
      </c>
      <c r="H100">
        <v>2023</v>
      </c>
      <c r="I100">
        <v>1</v>
      </c>
      <c r="J100">
        <v>2</v>
      </c>
      <c r="K100" t="s">
        <v>1047</v>
      </c>
      <c r="L100" t="s">
        <v>1045</v>
      </c>
      <c r="M100">
        <v>2023</v>
      </c>
      <c r="N100" t="s">
        <v>1075</v>
      </c>
      <c r="O100">
        <v>4</v>
      </c>
    </row>
    <row r="101" spans="1:15" x14ac:dyDescent="0.25">
      <c r="A101" t="s">
        <v>126</v>
      </c>
      <c r="B101" t="s">
        <v>14</v>
      </c>
      <c r="C101">
        <v>95</v>
      </c>
      <c r="D101" t="s">
        <v>10</v>
      </c>
      <c r="E101">
        <v>66</v>
      </c>
      <c r="F101">
        <v>4.5999999999999996</v>
      </c>
      <c r="G101" s="8">
        <v>44967</v>
      </c>
      <c r="H101">
        <v>2023</v>
      </c>
      <c r="I101">
        <v>1</v>
      </c>
      <c r="J101">
        <v>2</v>
      </c>
      <c r="K101" t="s">
        <v>1047</v>
      </c>
      <c r="L101" t="s">
        <v>1045</v>
      </c>
      <c r="M101">
        <v>2023</v>
      </c>
      <c r="N101" t="s">
        <v>1074</v>
      </c>
      <c r="O101">
        <v>5</v>
      </c>
    </row>
    <row r="102" spans="1:15" x14ac:dyDescent="0.25">
      <c r="A102" t="s">
        <v>127</v>
      </c>
      <c r="B102" t="s">
        <v>16</v>
      </c>
      <c r="C102">
        <v>131</v>
      </c>
      <c r="D102" t="s">
        <v>11</v>
      </c>
      <c r="E102">
        <v>172</v>
      </c>
      <c r="F102">
        <v>2.6</v>
      </c>
      <c r="G102" s="8">
        <v>44967</v>
      </c>
      <c r="H102">
        <v>2023</v>
      </c>
      <c r="I102">
        <v>1</v>
      </c>
      <c r="J102">
        <v>2</v>
      </c>
      <c r="K102" t="s">
        <v>1047</v>
      </c>
      <c r="L102" t="s">
        <v>1045</v>
      </c>
      <c r="M102">
        <v>2023</v>
      </c>
      <c r="N102" t="s">
        <v>1075</v>
      </c>
      <c r="O102">
        <v>3</v>
      </c>
    </row>
    <row r="103" spans="1:15" x14ac:dyDescent="0.25">
      <c r="A103" t="s">
        <v>128</v>
      </c>
      <c r="B103" t="s">
        <v>22</v>
      </c>
      <c r="C103">
        <v>67</v>
      </c>
      <c r="D103" t="s">
        <v>13</v>
      </c>
      <c r="E103">
        <v>24</v>
      </c>
      <c r="F103">
        <v>4.3</v>
      </c>
      <c r="G103" s="8">
        <v>44968</v>
      </c>
      <c r="H103">
        <v>2023</v>
      </c>
      <c r="I103">
        <v>1</v>
      </c>
      <c r="J103">
        <v>2</v>
      </c>
      <c r="K103" t="s">
        <v>1047</v>
      </c>
      <c r="L103" t="s">
        <v>1046</v>
      </c>
      <c r="M103">
        <v>2023</v>
      </c>
      <c r="N103" t="s">
        <v>1074</v>
      </c>
      <c r="O103">
        <v>4</v>
      </c>
    </row>
    <row r="104" spans="1:15" x14ac:dyDescent="0.25">
      <c r="A104" t="s">
        <v>129</v>
      </c>
      <c r="B104" t="s">
        <v>21</v>
      </c>
      <c r="C104">
        <v>111</v>
      </c>
      <c r="D104" t="s">
        <v>11</v>
      </c>
      <c r="E104">
        <v>43</v>
      </c>
      <c r="F104">
        <v>3.9</v>
      </c>
      <c r="G104" s="8">
        <v>44969</v>
      </c>
      <c r="H104">
        <v>2023</v>
      </c>
      <c r="I104">
        <v>1</v>
      </c>
      <c r="J104">
        <v>2</v>
      </c>
      <c r="K104" t="s">
        <v>1047</v>
      </c>
      <c r="L104" t="s">
        <v>1040</v>
      </c>
      <c r="M104">
        <v>2023</v>
      </c>
      <c r="N104" t="s">
        <v>1074</v>
      </c>
      <c r="O104">
        <v>4</v>
      </c>
    </row>
    <row r="105" spans="1:15" x14ac:dyDescent="0.25">
      <c r="A105" t="s">
        <v>130</v>
      </c>
      <c r="B105" t="s">
        <v>23</v>
      </c>
      <c r="C105">
        <v>78</v>
      </c>
      <c r="D105" t="s">
        <v>9</v>
      </c>
      <c r="E105">
        <v>23</v>
      </c>
      <c r="F105">
        <v>5</v>
      </c>
      <c r="G105" s="8">
        <v>44969</v>
      </c>
      <c r="H105">
        <v>2023</v>
      </c>
      <c r="I105">
        <v>1</v>
      </c>
      <c r="J105">
        <v>2</v>
      </c>
      <c r="K105" t="s">
        <v>1047</v>
      </c>
      <c r="L105" t="s">
        <v>1040</v>
      </c>
      <c r="M105">
        <v>2023</v>
      </c>
      <c r="N105" t="s">
        <v>1074</v>
      </c>
      <c r="O105">
        <v>5</v>
      </c>
    </row>
    <row r="106" spans="1:15" x14ac:dyDescent="0.25">
      <c r="A106" t="s">
        <v>131</v>
      </c>
      <c r="B106" t="s">
        <v>24</v>
      </c>
      <c r="C106">
        <v>28</v>
      </c>
      <c r="D106" t="s">
        <v>6</v>
      </c>
      <c r="E106">
        <v>74</v>
      </c>
      <c r="F106">
        <v>3.5</v>
      </c>
      <c r="G106" s="8">
        <v>44969</v>
      </c>
      <c r="H106">
        <v>2023</v>
      </c>
      <c r="I106">
        <v>1</v>
      </c>
      <c r="J106">
        <v>2</v>
      </c>
      <c r="K106" t="s">
        <v>1047</v>
      </c>
      <c r="L106" t="s">
        <v>1040</v>
      </c>
      <c r="M106">
        <v>2023</v>
      </c>
      <c r="N106" t="s">
        <v>1077</v>
      </c>
      <c r="O106">
        <v>4</v>
      </c>
    </row>
    <row r="107" spans="1:15" x14ac:dyDescent="0.25">
      <c r="A107" t="s">
        <v>132</v>
      </c>
      <c r="B107" t="s">
        <v>12</v>
      </c>
      <c r="C107">
        <v>127</v>
      </c>
      <c r="D107" t="s">
        <v>13</v>
      </c>
      <c r="E107">
        <v>165</v>
      </c>
      <c r="F107">
        <v>4.7</v>
      </c>
      <c r="G107" s="8">
        <v>44970</v>
      </c>
      <c r="H107">
        <v>2023</v>
      </c>
      <c r="I107">
        <v>1</v>
      </c>
      <c r="J107">
        <v>2</v>
      </c>
      <c r="K107" t="s">
        <v>1047</v>
      </c>
      <c r="L107" t="s">
        <v>1041</v>
      </c>
      <c r="M107">
        <v>2023</v>
      </c>
      <c r="N107" t="s">
        <v>1075</v>
      </c>
      <c r="O107">
        <v>5</v>
      </c>
    </row>
    <row r="108" spans="1:15" x14ac:dyDescent="0.25">
      <c r="A108" t="s">
        <v>133</v>
      </c>
      <c r="B108" t="s">
        <v>19</v>
      </c>
      <c r="C108">
        <v>137</v>
      </c>
      <c r="D108" t="s">
        <v>11</v>
      </c>
      <c r="E108">
        <v>34</v>
      </c>
      <c r="F108">
        <v>2.9</v>
      </c>
      <c r="G108" s="8">
        <v>44970</v>
      </c>
      <c r="H108">
        <v>2023</v>
      </c>
      <c r="I108">
        <v>1</v>
      </c>
      <c r="J108">
        <v>2</v>
      </c>
      <c r="K108" t="s">
        <v>1047</v>
      </c>
      <c r="L108" t="s">
        <v>1041</v>
      </c>
      <c r="M108">
        <v>2023</v>
      </c>
      <c r="N108" t="s">
        <v>1075</v>
      </c>
      <c r="O108">
        <v>3</v>
      </c>
    </row>
    <row r="109" spans="1:15" x14ac:dyDescent="0.25">
      <c r="A109" t="s">
        <v>134</v>
      </c>
      <c r="B109" t="s">
        <v>12</v>
      </c>
      <c r="C109">
        <v>76</v>
      </c>
      <c r="D109" t="s">
        <v>6</v>
      </c>
      <c r="E109">
        <v>64</v>
      </c>
      <c r="F109">
        <v>3.4</v>
      </c>
      <c r="G109" s="8">
        <v>44970</v>
      </c>
      <c r="H109">
        <v>2023</v>
      </c>
      <c r="I109">
        <v>1</v>
      </c>
      <c r="J109">
        <v>2</v>
      </c>
      <c r="K109" t="s">
        <v>1047</v>
      </c>
      <c r="L109" t="s">
        <v>1041</v>
      </c>
      <c r="M109">
        <v>2023</v>
      </c>
      <c r="N109" t="s">
        <v>1074</v>
      </c>
      <c r="O109">
        <v>3</v>
      </c>
    </row>
    <row r="110" spans="1:15" x14ac:dyDescent="0.25">
      <c r="A110" t="s">
        <v>135</v>
      </c>
      <c r="B110" t="s">
        <v>23</v>
      </c>
      <c r="C110">
        <v>80</v>
      </c>
      <c r="D110" t="s">
        <v>13</v>
      </c>
      <c r="E110">
        <v>155</v>
      </c>
      <c r="F110">
        <v>3.2</v>
      </c>
      <c r="G110" s="8">
        <v>44971</v>
      </c>
      <c r="H110">
        <v>2023</v>
      </c>
      <c r="I110">
        <v>1</v>
      </c>
      <c r="J110">
        <v>2</v>
      </c>
      <c r="K110" t="s">
        <v>1047</v>
      </c>
      <c r="L110" t="s">
        <v>1042</v>
      </c>
      <c r="M110">
        <v>2023</v>
      </c>
      <c r="N110" t="s">
        <v>1074</v>
      </c>
      <c r="O110">
        <v>3</v>
      </c>
    </row>
    <row r="111" spans="1:15" x14ac:dyDescent="0.25">
      <c r="A111" t="s">
        <v>136</v>
      </c>
      <c r="B111" t="s">
        <v>12</v>
      </c>
      <c r="C111">
        <v>95</v>
      </c>
      <c r="D111" t="s">
        <v>9</v>
      </c>
      <c r="E111">
        <v>120</v>
      </c>
      <c r="F111">
        <v>4.8</v>
      </c>
      <c r="G111" s="8">
        <v>44972</v>
      </c>
      <c r="H111">
        <v>2023</v>
      </c>
      <c r="I111">
        <v>1</v>
      </c>
      <c r="J111">
        <v>2</v>
      </c>
      <c r="K111" t="s">
        <v>1047</v>
      </c>
      <c r="L111" t="s">
        <v>1043</v>
      </c>
      <c r="M111">
        <v>2023</v>
      </c>
      <c r="N111" t="s">
        <v>1074</v>
      </c>
      <c r="O111">
        <v>5</v>
      </c>
    </row>
    <row r="112" spans="1:15" x14ac:dyDescent="0.25">
      <c r="A112" t="s">
        <v>137</v>
      </c>
      <c r="B112" t="s">
        <v>7</v>
      </c>
      <c r="C112">
        <v>30</v>
      </c>
      <c r="D112" t="s">
        <v>6</v>
      </c>
      <c r="E112">
        <v>105</v>
      </c>
      <c r="F112">
        <v>3.6</v>
      </c>
      <c r="G112" s="8">
        <v>44972</v>
      </c>
      <c r="H112">
        <v>2023</v>
      </c>
      <c r="I112">
        <v>1</v>
      </c>
      <c r="J112">
        <v>2</v>
      </c>
      <c r="K112" t="s">
        <v>1047</v>
      </c>
      <c r="L112" t="s">
        <v>1043</v>
      </c>
      <c r="M112">
        <v>2023</v>
      </c>
      <c r="N112" t="s">
        <v>1077</v>
      </c>
      <c r="O112">
        <v>4</v>
      </c>
    </row>
    <row r="113" spans="1:15" x14ac:dyDescent="0.25">
      <c r="A113" t="s">
        <v>138</v>
      </c>
      <c r="B113" t="s">
        <v>8</v>
      </c>
      <c r="C113">
        <v>19</v>
      </c>
      <c r="D113" t="s">
        <v>11</v>
      </c>
      <c r="E113">
        <v>28</v>
      </c>
      <c r="F113">
        <v>4.9000000000000004</v>
      </c>
      <c r="G113" s="8">
        <v>44972</v>
      </c>
      <c r="H113">
        <v>2023</v>
      </c>
      <c r="I113">
        <v>1</v>
      </c>
      <c r="J113">
        <v>2</v>
      </c>
      <c r="K113" t="s">
        <v>1047</v>
      </c>
      <c r="L113" t="s">
        <v>1043</v>
      </c>
      <c r="M113">
        <v>2023</v>
      </c>
      <c r="N113" t="s">
        <v>1077</v>
      </c>
      <c r="O113">
        <v>5</v>
      </c>
    </row>
    <row r="114" spans="1:15" x14ac:dyDescent="0.25">
      <c r="A114" t="s">
        <v>139</v>
      </c>
      <c r="B114" t="s">
        <v>18</v>
      </c>
      <c r="C114">
        <v>38</v>
      </c>
      <c r="D114" t="s">
        <v>13</v>
      </c>
      <c r="E114">
        <v>100</v>
      </c>
      <c r="F114">
        <v>4.8</v>
      </c>
      <c r="G114" s="8">
        <v>44972</v>
      </c>
      <c r="H114">
        <v>2023</v>
      </c>
      <c r="I114">
        <v>1</v>
      </c>
      <c r="J114">
        <v>2</v>
      </c>
      <c r="K114" t="s">
        <v>1047</v>
      </c>
      <c r="L114" t="s">
        <v>1043</v>
      </c>
      <c r="M114">
        <v>2023</v>
      </c>
      <c r="N114" t="s">
        <v>1076</v>
      </c>
      <c r="O114">
        <v>5</v>
      </c>
    </row>
    <row r="115" spans="1:15" x14ac:dyDescent="0.25">
      <c r="A115" t="s">
        <v>140</v>
      </c>
      <c r="B115" t="s">
        <v>14</v>
      </c>
      <c r="C115">
        <v>55</v>
      </c>
      <c r="D115" t="s">
        <v>11</v>
      </c>
      <c r="E115">
        <v>23</v>
      </c>
      <c r="F115">
        <v>3.6</v>
      </c>
      <c r="G115" s="8">
        <v>44972</v>
      </c>
      <c r="H115">
        <v>2023</v>
      </c>
      <c r="I115">
        <v>1</v>
      </c>
      <c r="J115">
        <v>2</v>
      </c>
      <c r="K115" t="s">
        <v>1047</v>
      </c>
      <c r="L115" t="s">
        <v>1043</v>
      </c>
      <c r="M115">
        <v>2023</v>
      </c>
      <c r="N115" t="s">
        <v>1076</v>
      </c>
      <c r="O115">
        <v>4</v>
      </c>
    </row>
    <row r="116" spans="1:15" x14ac:dyDescent="0.25">
      <c r="A116" t="s">
        <v>141</v>
      </c>
      <c r="B116" t="s">
        <v>22</v>
      </c>
      <c r="C116">
        <v>27</v>
      </c>
      <c r="D116" t="s">
        <v>6</v>
      </c>
      <c r="E116">
        <v>70</v>
      </c>
      <c r="F116">
        <v>3.9</v>
      </c>
      <c r="G116" s="8">
        <v>44973</v>
      </c>
      <c r="H116">
        <v>2023</v>
      </c>
      <c r="I116">
        <v>1</v>
      </c>
      <c r="J116">
        <v>2</v>
      </c>
      <c r="K116" t="s">
        <v>1047</v>
      </c>
      <c r="L116" t="s">
        <v>1044</v>
      </c>
      <c r="M116">
        <v>2023</v>
      </c>
      <c r="N116" t="s">
        <v>1077</v>
      </c>
      <c r="O116">
        <v>4</v>
      </c>
    </row>
    <row r="117" spans="1:15" x14ac:dyDescent="0.25">
      <c r="A117" t="s">
        <v>142</v>
      </c>
      <c r="B117" t="s">
        <v>22</v>
      </c>
      <c r="C117">
        <v>32</v>
      </c>
      <c r="D117" t="s">
        <v>6</v>
      </c>
      <c r="E117">
        <v>37</v>
      </c>
      <c r="F117">
        <v>1.9</v>
      </c>
      <c r="G117" s="8">
        <v>44973</v>
      </c>
      <c r="H117">
        <v>2023</v>
      </c>
      <c r="I117">
        <v>1</v>
      </c>
      <c r="J117">
        <v>2</v>
      </c>
      <c r="K117" t="s">
        <v>1047</v>
      </c>
      <c r="L117" t="s">
        <v>1044</v>
      </c>
      <c r="M117">
        <v>2023</v>
      </c>
      <c r="N117" t="s">
        <v>1076</v>
      </c>
      <c r="O117">
        <v>2</v>
      </c>
    </row>
    <row r="118" spans="1:15" x14ac:dyDescent="0.25">
      <c r="A118" t="s">
        <v>143</v>
      </c>
      <c r="B118" t="s">
        <v>24</v>
      </c>
      <c r="C118">
        <v>116</v>
      </c>
      <c r="D118" t="s">
        <v>10</v>
      </c>
      <c r="E118">
        <v>140</v>
      </c>
      <c r="F118">
        <v>3.6</v>
      </c>
      <c r="G118" s="8">
        <v>44973</v>
      </c>
      <c r="H118">
        <v>2023</v>
      </c>
      <c r="I118">
        <v>1</v>
      </c>
      <c r="J118">
        <v>2</v>
      </c>
      <c r="K118" t="s">
        <v>1047</v>
      </c>
      <c r="L118" t="s">
        <v>1044</v>
      </c>
      <c r="M118">
        <v>2023</v>
      </c>
      <c r="N118" t="s">
        <v>1074</v>
      </c>
      <c r="O118">
        <v>4</v>
      </c>
    </row>
    <row r="119" spans="1:15" x14ac:dyDescent="0.25">
      <c r="A119" t="s">
        <v>144</v>
      </c>
      <c r="B119" t="s">
        <v>20</v>
      </c>
      <c r="C119">
        <v>99</v>
      </c>
      <c r="D119" t="s">
        <v>9</v>
      </c>
      <c r="E119">
        <v>78</v>
      </c>
      <c r="F119">
        <v>4.0999999999999996</v>
      </c>
      <c r="G119" s="8">
        <v>44973</v>
      </c>
      <c r="H119">
        <v>2023</v>
      </c>
      <c r="I119">
        <v>1</v>
      </c>
      <c r="J119">
        <v>2</v>
      </c>
      <c r="K119" t="s">
        <v>1047</v>
      </c>
      <c r="L119" t="s">
        <v>1044</v>
      </c>
      <c r="M119">
        <v>2023</v>
      </c>
      <c r="N119" t="s">
        <v>1074</v>
      </c>
      <c r="O119">
        <v>4</v>
      </c>
    </row>
    <row r="120" spans="1:15" x14ac:dyDescent="0.25">
      <c r="A120" t="s">
        <v>145</v>
      </c>
      <c r="B120" t="s">
        <v>12</v>
      </c>
      <c r="C120">
        <v>75</v>
      </c>
      <c r="D120" t="s">
        <v>6</v>
      </c>
      <c r="E120">
        <v>21</v>
      </c>
      <c r="F120">
        <v>4.2</v>
      </c>
      <c r="G120" s="8">
        <v>44974</v>
      </c>
      <c r="H120">
        <v>2023</v>
      </c>
      <c r="I120">
        <v>1</v>
      </c>
      <c r="J120">
        <v>2</v>
      </c>
      <c r="K120" t="s">
        <v>1047</v>
      </c>
      <c r="L120" t="s">
        <v>1045</v>
      </c>
      <c r="M120">
        <v>2023</v>
      </c>
      <c r="N120" t="s">
        <v>1074</v>
      </c>
      <c r="O120">
        <v>4</v>
      </c>
    </row>
    <row r="121" spans="1:15" x14ac:dyDescent="0.25">
      <c r="A121" t="s">
        <v>146</v>
      </c>
      <c r="B121" t="s">
        <v>23</v>
      </c>
      <c r="C121">
        <v>57</v>
      </c>
      <c r="D121" t="s">
        <v>10</v>
      </c>
      <c r="E121">
        <v>88</v>
      </c>
      <c r="F121">
        <v>4.3</v>
      </c>
      <c r="G121" s="8">
        <v>44974</v>
      </c>
      <c r="H121">
        <v>2023</v>
      </c>
      <c r="I121">
        <v>1</v>
      </c>
      <c r="J121">
        <v>2</v>
      </c>
      <c r="K121" t="s">
        <v>1047</v>
      </c>
      <c r="L121" t="s">
        <v>1045</v>
      </c>
      <c r="M121">
        <v>2023</v>
      </c>
      <c r="N121" t="s">
        <v>1076</v>
      </c>
      <c r="O121">
        <v>4</v>
      </c>
    </row>
    <row r="122" spans="1:15" x14ac:dyDescent="0.25">
      <c r="A122" t="s">
        <v>147</v>
      </c>
      <c r="B122" t="s">
        <v>15</v>
      </c>
      <c r="C122">
        <v>155</v>
      </c>
      <c r="D122" t="s">
        <v>10</v>
      </c>
      <c r="E122">
        <v>180</v>
      </c>
      <c r="F122">
        <v>2.2000000000000002</v>
      </c>
      <c r="G122" s="8">
        <v>44975</v>
      </c>
      <c r="H122">
        <v>2023</v>
      </c>
      <c r="I122">
        <v>1</v>
      </c>
      <c r="J122">
        <v>2</v>
      </c>
      <c r="K122" t="s">
        <v>1047</v>
      </c>
      <c r="L122" t="s">
        <v>1046</v>
      </c>
      <c r="M122">
        <v>2023</v>
      </c>
      <c r="N122" t="s">
        <v>1075</v>
      </c>
      <c r="O122">
        <v>2</v>
      </c>
    </row>
    <row r="123" spans="1:15" x14ac:dyDescent="0.25">
      <c r="A123" t="s">
        <v>148</v>
      </c>
      <c r="B123" t="s">
        <v>20</v>
      </c>
      <c r="C123">
        <v>68</v>
      </c>
      <c r="D123" t="s">
        <v>9</v>
      </c>
      <c r="E123">
        <v>22</v>
      </c>
      <c r="F123">
        <v>3.3</v>
      </c>
      <c r="G123" s="8">
        <v>44975</v>
      </c>
      <c r="H123">
        <v>2023</v>
      </c>
      <c r="I123">
        <v>1</v>
      </c>
      <c r="J123">
        <v>2</v>
      </c>
      <c r="K123" t="s">
        <v>1047</v>
      </c>
      <c r="L123" t="s">
        <v>1046</v>
      </c>
      <c r="M123">
        <v>2023</v>
      </c>
      <c r="N123" t="s">
        <v>1074</v>
      </c>
      <c r="O123">
        <v>3</v>
      </c>
    </row>
    <row r="124" spans="1:15" x14ac:dyDescent="0.25">
      <c r="A124" t="s">
        <v>149</v>
      </c>
      <c r="B124" t="s">
        <v>18</v>
      </c>
      <c r="C124">
        <v>95</v>
      </c>
      <c r="D124" t="s">
        <v>9</v>
      </c>
      <c r="E124">
        <v>52</v>
      </c>
      <c r="F124">
        <v>4.8</v>
      </c>
      <c r="G124" s="8">
        <v>44975</v>
      </c>
      <c r="H124">
        <v>2023</v>
      </c>
      <c r="I124">
        <v>1</v>
      </c>
      <c r="J124">
        <v>2</v>
      </c>
      <c r="K124" t="s">
        <v>1047</v>
      </c>
      <c r="L124" t="s">
        <v>1046</v>
      </c>
      <c r="M124">
        <v>2023</v>
      </c>
      <c r="N124" t="s">
        <v>1074</v>
      </c>
      <c r="O124">
        <v>5</v>
      </c>
    </row>
    <row r="125" spans="1:15" x14ac:dyDescent="0.25">
      <c r="A125" t="s">
        <v>150</v>
      </c>
      <c r="B125" t="s">
        <v>19</v>
      </c>
      <c r="C125">
        <v>65</v>
      </c>
      <c r="D125" t="s">
        <v>10</v>
      </c>
      <c r="E125">
        <v>80</v>
      </c>
      <c r="F125">
        <v>4</v>
      </c>
      <c r="G125" s="8">
        <v>44976</v>
      </c>
      <c r="H125">
        <v>2023</v>
      </c>
      <c r="I125">
        <v>1</v>
      </c>
      <c r="J125">
        <v>2</v>
      </c>
      <c r="K125" t="s">
        <v>1047</v>
      </c>
      <c r="L125" t="s">
        <v>1040</v>
      </c>
      <c r="M125">
        <v>2023</v>
      </c>
      <c r="N125" t="s">
        <v>1074</v>
      </c>
      <c r="O125">
        <v>4</v>
      </c>
    </row>
    <row r="126" spans="1:15" x14ac:dyDescent="0.25">
      <c r="A126" t="s">
        <v>151</v>
      </c>
      <c r="B126" t="s">
        <v>8</v>
      </c>
      <c r="C126">
        <v>114</v>
      </c>
      <c r="D126" t="s">
        <v>11</v>
      </c>
      <c r="E126">
        <v>54</v>
      </c>
      <c r="F126">
        <v>1.1000000000000001</v>
      </c>
      <c r="G126" s="8">
        <v>44976</v>
      </c>
      <c r="H126">
        <v>2023</v>
      </c>
      <c r="I126">
        <v>1</v>
      </c>
      <c r="J126">
        <v>2</v>
      </c>
      <c r="K126" t="s">
        <v>1047</v>
      </c>
      <c r="L126" t="s">
        <v>1040</v>
      </c>
      <c r="M126">
        <v>2023</v>
      </c>
      <c r="N126" t="s">
        <v>1074</v>
      </c>
      <c r="O126">
        <v>1</v>
      </c>
    </row>
    <row r="127" spans="1:15" x14ac:dyDescent="0.25">
      <c r="A127" t="s">
        <v>152</v>
      </c>
      <c r="B127" t="s">
        <v>12</v>
      </c>
      <c r="C127">
        <v>155</v>
      </c>
      <c r="D127" t="s">
        <v>11</v>
      </c>
      <c r="E127">
        <v>80</v>
      </c>
      <c r="F127">
        <v>3.9</v>
      </c>
      <c r="G127" s="8">
        <v>44977</v>
      </c>
      <c r="H127">
        <v>2023</v>
      </c>
      <c r="I127">
        <v>1</v>
      </c>
      <c r="J127">
        <v>2</v>
      </c>
      <c r="K127" t="s">
        <v>1047</v>
      </c>
      <c r="L127" t="s">
        <v>1041</v>
      </c>
      <c r="M127">
        <v>2023</v>
      </c>
      <c r="N127" t="s">
        <v>1075</v>
      </c>
      <c r="O127">
        <v>4</v>
      </c>
    </row>
    <row r="128" spans="1:15" x14ac:dyDescent="0.25">
      <c r="A128" t="s">
        <v>153</v>
      </c>
      <c r="B128" t="s">
        <v>19</v>
      </c>
      <c r="C128">
        <v>114</v>
      </c>
      <c r="D128" t="s">
        <v>10</v>
      </c>
      <c r="E128">
        <v>120</v>
      </c>
      <c r="F128">
        <v>1.8</v>
      </c>
      <c r="G128" s="8">
        <v>44978</v>
      </c>
      <c r="H128">
        <v>2023</v>
      </c>
      <c r="I128">
        <v>1</v>
      </c>
      <c r="J128">
        <v>2</v>
      </c>
      <c r="K128" t="s">
        <v>1047</v>
      </c>
      <c r="L128" t="s">
        <v>1042</v>
      </c>
      <c r="M128">
        <v>2023</v>
      </c>
      <c r="N128" t="s">
        <v>1074</v>
      </c>
      <c r="O128">
        <v>2</v>
      </c>
    </row>
    <row r="129" spans="1:15" x14ac:dyDescent="0.25">
      <c r="A129" t="s">
        <v>154</v>
      </c>
      <c r="B129" t="s">
        <v>15</v>
      </c>
      <c r="C129">
        <v>130</v>
      </c>
      <c r="D129" t="s">
        <v>13</v>
      </c>
      <c r="E129">
        <v>150</v>
      </c>
      <c r="F129">
        <v>1</v>
      </c>
      <c r="G129" s="8">
        <v>44978</v>
      </c>
      <c r="H129">
        <v>2023</v>
      </c>
      <c r="I129">
        <v>1</v>
      </c>
      <c r="J129">
        <v>2</v>
      </c>
      <c r="K129" t="s">
        <v>1047</v>
      </c>
      <c r="L129" t="s">
        <v>1042</v>
      </c>
      <c r="M129">
        <v>2023</v>
      </c>
      <c r="N129" t="s">
        <v>1075</v>
      </c>
      <c r="O129">
        <v>1</v>
      </c>
    </row>
    <row r="130" spans="1:15" x14ac:dyDescent="0.25">
      <c r="A130" t="s">
        <v>155</v>
      </c>
      <c r="B130" t="s">
        <v>12</v>
      </c>
      <c r="C130">
        <v>89</v>
      </c>
      <c r="D130" t="s">
        <v>10</v>
      </c>
      <c r="E130">
        <v>90</v>
      </c>
      <c r="F130">
        <v>4.3</v>
      </c>
      <c r="G130" s="8">
        <v>44978</v>
      </c>
      <c r="H130">
        <v>2023</v>
      </c>
      <c r="I130">
        <v>1</v>
      </c>
      <c r="J130">
        <v>2</v>
      </c>
      <c r="K130" t="s">
        <v>1047</v>
      </c>
      <c r="L130" t="s">
        <v>1042</v>
      </c>
      <c r="M130">
        <v>2023</v>
      </c>
      <c r="N130" t="s">
        <v>1074</v>
      </c>
      <c r="O130">
        <v>4</v>
      </c>
    </row>
    <row r="131" spans="1:15" x14ac:dyDescent="0.25">
      <c r="A131" t="s">
        <v>156</v>
      </c>
      <c r="B131" t="s">
        <v>17</v>
      </c>
      <c r="C131">
        <v>61</v>
      </c>
      <c r="D131" t="s">
        <v>6</v>
      </c>
      <c r="E131">
        <v>140</v>
      </c>
      <c r="F131">
        <v>3.4</v>
      </c>
      <c r="G131" s="8">
        <v>44979</v>
      </c>
      <c r="H131">
        <v>2023</v>
      </c>
      <c r="I131">
        <v>1</v>
      </c>
      <c r="J131">
        <v>2</v>
      </c>
      <c r="K131" t="s">
        <v>1047</v>
      </c>
      <c r="L131" t="s">
        <v>1043</v>
      </c>
      <c r="M131">
        <v>2023</v>
      </c>
      <c r="N131" t="s">
        <v>1074</v>
      </c>
      <c r="O131">
        <v>3</v>
      </c>
    </row>
    <row r="132" spans="1:15" x14ac:dyDescent="0.25">
      <c r="A132" t="s">
        <v>157</v>
      </c>
      <c r="B132" t="s">
        <v>18</v>
      </c>
      <c r="C132">
        <v>154</v>
      </c>
      <c r="D132" t="s">
        <v>11</v>
      </c>
      <c r="E132">
        <v>22</v>
      </c>
      <c r="F132">
        <v>3.4</v>
      </c>
      <c r="G132" s="8">
        <v>44979</v>
      </c>
      <c r="H132">
        <v>2023</v>
      </c>
      <c r="I132">
        <v>1</v>
      </c>
      <c r="J132">
        <v>2</v>
      </c>
      <c r="K132" t="s">
        <v>1047</v>
      </c>
      <c r="L132" t="s">
        <v>1043</v>
      </c>
      <c r="M132">
        <v>2023</v>
      </c>
      <c r="N132" t="s">
        <v>1075</v>
      </c>
      <c r="O132">
        <v>3</v>
      </c>
    </row>
    <row r="133" spans="1:15" x14ac:dyDescent="0.25">
      <c r="A133" t="s">
        <v>158</v>
      </c>
      <c r="B133" t="s">
        <v>19</v>
      </c>
      <c r="C133">
        <v>115</v>
      </c>
      <c r="D133" t="s">
        <v>13</v>
      </c>
      <c r="E133">
        <v>150</v>
      </c>
      <c r="F133">
        <v>4.0999999999999996</v>
      </c>
      <c r="G133" s="8">
        <v>44980</v>
      </c>
      <c r="H133">
        <v>2023</v>
      </c>
      <c r="I133">
        <v>1</v>
      </c>
      <c r="J133">
        <v>2</v>
      </c>
      <c r="K133" t="s">
        <v>1047</v>
      </c>
      <c r="L133" t="s">
        <v>1044</v>
      </c>
      <c r="M133">
        <v>2023</v>
      </c>
      <c r="N133" t="s">
        <v>1074</v>
      </c>
      <c r="O133">
        <v>4</v>
      </c>
    </row>
    <row r="134" spans="1:15" x14ac:dyDescent="0.25">
      <c r="A134" t="s">
        <v>159</v>
      </c>
      <c r="B134" t="s">
        <v>5</v>
      </c>
      <c r="C134">
        <v>138</v>
      </c>
      <c r="D134" t="s">
        <v>9</v>
      </c>
      <c r="E134">
        <v>35</v>
      </c>
      <c r="F134">
        <v>4.8</v>
      </c>
      <c r="G134" s="8">
        <v>44981</v>
      </c>
      <c r="H134">
        <v>2023</v>
      </c>
      <c r="I134">
        <v>1</v>
      </c>
      <c r="J134">
        <v>2</v>
      </c>
      <c r="K134" t="s">
        <v>1047</v>
      </c>
      <c r="L134" t="s">
        <v>1045</v>
      </c>
      <c r="M134">
        <v>2023</v>
      </c>
      <c r="N134" t="s">
        <v>1075</v>
      </c>
      <c r="O134">
        <v>5</v>
      </c>
    </row>
    <row r="135" spans="1:15" x14ac:dyDescent="0.25">
      <c r="A135" t="s">
        <v>160</v>
      </c>
      <c r="B135" t="s">
        <v>21</v>
      </c>
      <c r="C135">
        <v>153</v>
      </c>
      <c r="D135" t="s">
        <v>10</v>
      </c>
      <c r="E135">
        <v>200</v>
      </c>
      <c r="F135">
        <v>2</v>
      </c>
      <c r="G135" s="8">
        <v>44981</v>
      </c>
      <c r="H135">
        <v>2023</v>
      </c>
      <c r="I135">
        <v>1</v>
      </c>
      <c r="J135">
        <v>2</v>
      </c>
      <c r="K135" t="s">
        <v>1047</v>
      </c>
      <c r="L135" t="s">
        <v>1045</v>
      </c>
      <c r="M135">
        <v>2023</v>
      </c>
      <c r="N135" t="s">
        <v>1075</v>
      </c>
      <c r="O135">
        <v>2</v>
      </c>
    </row>
    <row r="136" spans="1:15" x14ac:dyDescent="0.25">
      <c r="A136" t="s">
        <v>161</v>
      </c>
      <c r="B136" t="s">
        <v>19</v>
      </c>
      <c r="C136">
        <v>61</v>
      </c>
      <c r="D136" t="s">
        <v>6</v>
      </c>
      <c r="E136">
        <v>150</v>
      </c>
      <c r="F136">
        <v>4.5999999999999996</v>
      </c>
      <c r="G136" s="8">
        <v>44982</v>
      </c>
      <c r="H136">
        <v>2023</v>
      </c>
      <c r="I136">
        <v>1</v>
      </c>
      <c r="J136">
        <v>2</v>
      </c>
      <c r="K136" t="s">
        <v>1047</v>
      </c>
      <c r="L136" t="s">
        <v>1046</v>
      </c>
      <c r="M136">
        <v>2023</v>
      </c>
      <c r="N136" t="s">
        <v>1074</v>
      </c>
      <c r="O136">
        <v>5</v>
      </c>
    </row>
    <row r="137" spans="1:15" x14ac:dyDescent="0.25">
      <c r="A137" t="s">
        <v>162</v>
      </c>
      <c r="B137" t="s">
        <v>22</v>
      </c>
      <c r="C137">
        <v>62</v>
      </c>
      <c r="D137" t="s">
        <v>10</v>
      </c>
      <c r="E137">
        <v>21</v>
      </c>
      <c r="F137">
        <v>2.6</v>
      </c>
      <c r="G137" s="8">
        <v>44982</v>
      </c>
      <c r="H137">
        <v>2023</v>
      </c>
      <c r="I137">
        <v>1</v>
      </c>
      <c r="J137">
        <v>2</v>
      </c>
      <c r="K137" t="s">
        <v>1047</v>
      </c>
      <c r="L137" t="s">
        <v>1046</v>
      </c>
      <c r="M137">
        <v>2023</v>
      </c>
      <c r="N137" t="s">
        <v>1074</v>
      </c>
      <c r="O137">
        <v>3</v>
      </c>
    </row>
    <row r="138" spans="1:15" x14ac:dyDescent="0.25">
      <c r="A138" t="s">
        <v>163</v>
      </c>
      <c r="B138" t="s">
        <v>17</v>
      </c>
      <c r="C138">
        <v>151</v>
      </c>
      <c r="D138" t="s">
        <v>13</v>
      </c>
      <c r="E138">
        <v>46</v>
      </c>
      <c r="F138">
        <v>4.9000000000000004</v>
      </c>
      <c r="G138" s="8">
        <v>44983</v>
      </c>
      <c r="H138">
        <v>2023</v>
      </c>
      <c r="I138">
        <v>1</v>
      </c>
      <c r="J138">
        <v>2</v>
      </c>
      <c r="K138" t="s">
        <v>1047</v>
      </c>
      <c r="L138" t="s">
        <v>1040</v>
      </c>
      <c r="M138">
        <v>2023</v>
      </c>
      <c r="N138" t="s">
        <v>1075</v>
      </c>
      <c r="O138">
        <v>5</v>
      </c>
    </row>
    <row r="139" spans="1:15" x14ac:dyDescent="0.25">
      <c r="A139" t="s">
        <v>164</v>
      </c>
      <c r="B139" t="s">
        <v>16</v>
      </c>
      <c r="C139">
        <v>102</v>
      </c>
      <c r="D139" t="s">
        <v>11</v>
      </c>
      <c r="E139">
        <v>165</v>
      </c>
      <c r="F139">
        <v>2.7</v>
      </c>
      <c r="G139" s="8">
        <v>44983</v>
      </c>
      <c r="H139">
        <v>2023</v>
      </c>
      <c r="I139">
        <v>1</v>
      </c>
      <c r="J139">
        <v>2</v>
      </c>
      <c r="K139" t="s">
        <v>1047</v>
      </c>
      <c r="L139" t="s">
        <v>1040</v>
      </c>
      <c r="M139">
        <v>2023</v>
      </c>
      <c r="N139" t="s">
        <v>1074</v>
      </c>
      <c r="O139">
        <v>3</v>
      </c>
    </row>
    <row r="140" spans="1:15" x14ac:dyDescent="0.25">
      <c r="A140" t="s">
        <v>165</v>
      </c>
      <c r="B140" t="s">
        <v>7</v>
      </c>
      <c r="C140">
        <v>64</v>
      </c>
      <c r="D140" t="s">
        <v>10</v>
      </c>
      <c r="E140">
        <v>84</v>
      </c>
      <c r="F140">
        <v>4.0999999999999996</v>
      </c>
      <c r="G140" s="8">
        <v>44983</v>
      </c>
      <c r="H140">
        <v>2023</v>
      </c>
      <c r="I140">
        <v>1</v>
      </c>
      <c r="J140">
        <v>2</v>
      </c>
      <c r="K140" t="s">
        <v>1047</v>
      </c>
      <c r="L140" t="s">
        <v>1040</v>
      </c>
      <c r="M140">
        <v>2023</v>
      </c>
      <c r="N140" t="s">
        <v>1074</v>
      </c>
      <c r="O140">
        <v>4</v>
      </c>
    </row>
    <row r="141" spans="1:15" x14ac:dyDescent="0.25">
      <c r="A141" t="s">
        <v>166</v>
      </c>
      <c r="B141" t="s">
        <v>12</v>
      </c>
      <c r="C141">
        <v>6</v>
      </c>
      <c r="D141" t="s">
        <v>11</v>
      </c>
      <c r="E141">
        <v>102</v>
      </c>
      <c r="F141">
        <v>4.4000000000000004</v>
      </c>
      <c r="G141" s="8">
        <v>44984</v>
      </c>
      <c r="H141">
        <v>2023</v>
      </c>
      <c r="I141">
        <v>1</v>
      </c>
      <c r="J141">
        <v>2</v>
      </c>
      <c r="K141" t="s">
        <v>1047</v>
      </c>
      <c r="L141" t="s">
        <v>1041</v>
      </c>
      <c r="M141">
        <v>2023</v>
      </c>
      <c r="N141" t="s">
        <v>1078</v>
      </c>
      <c r="O141">
        <v>4</v>
      </c>
    </row>
    <row r="142" spans="1:15" x14ac:dyDescent="0.25">
      <c r="A142" t="s">
        <v>167</v>
      </c>
      <c r="B142" t="s">
        <v>7</v>
      </c>
      <c r="C142">
        <v>129</v>
      </c>
      <c r="D142" t="s">
        <v>10</v>
      </c>
      <c r="E142">
        <v>180</v>
      </c>
      <c r="F142">
        <v>4.8</v>
      </c>
      <c r="G142" s="8">
        <v>44984</v>
      </c>
      <c r="H142">
        <v>2023</v>
      </c>
      <c r="I142">
        <v>1</v>
      </c>
      <c r="J142">
        <v>2</v>
      </c>
      <c r="K142" t="s">
        <v>1047</v>
      </c>
      <c r="L142" t="s">
        <v>1041</v>
      </c>
      <c r="M142">
        <v>2023</v>
      </c>
      <c r="N142" t="s">
        <v>1075</v>
      </c>
      <c r="O142">
        <v>5</v>
      </c>
    </row>
    <row r="143" spans="1:15" x14ac:dyDescent="0.25">
      <c r="A143" t="s">
        <v>168</v>
      </c>
      <c r="B143" t="s">
        <v>22</v>
      </c>
      <c r="C143">
        <v>42</v>
      </c>
      <c r="D143" t="s">
        <v>13</v>
      </c>
      <c r="E143">
        <v>111</v>
      </c>
      <c r="F143">
        <v>3</v>
      </c>
      <c r="G143" s="8">
        <v>44985</v>
      </c>
      <c r="H143">
        <v>2023</v>
      </c>
      <c r="I143">
        <v>1</v>
      </c>
      <c r="J143">
        <v>2</v>
      </c>
      <c r="K143" t="s">
        <v>1047</v>
      </c>
      <c r="L143" t="s">
        <v>1042</v>
      </c>
      <c r="M143">
        <v>2023</v>
      </c>
      <c r="N143" t="s">
        <v>1076</v>
      </c>
      <c r="O143">
        <v>3</v>
      </c>
    </row>
    <row r="144" spans="1:15" x14ac:dyDescent="0.25">
      <c r="A144" t="s">
        <v>169</v>
      </c>
      <c r="B144" t="s">
        <v>22</v>
      </c>
      <c r="C144">
        <v>71</v>
      </c>
      <c r="D144" t="s">
        <v>6</v>
      </c>
      <c r="E144">
        <v>104</v>
      </c>
      <c r="F144">
        <v>3.1</v>
      </c>
      <c r="G144" s="8">
        <v>44985</v>
      </c>
      <c r="H144">
        <v>2023</v>
      </c>
      <c r="I144">
        <v>1</v>
      </c>
      <c r="J144">
        <v>2</v>
      </c>
      <c r="K144" t="s">
        <v>1047</v>
      </c>
      <c r="L144" t="s">
        <v>1042</v>
      </c>
      <c r="M144">
        <v>2023</v>
      </c>
      <c r="N144" t="s">
        <v>1074</v>
      </c>
      <c r="O144">
        <v>3</v>
      </c>
    </row>
    <row r="145" spans="1:15" x14ac:dyDescent="0.25">
      <c r="A145" t="s">
        <v>170</v>
      </c>
      <c r="B145" t="s">
        <v>23</v>
      </c>
      <c r="C145">
        <v>53</v>
      </c>
      <c r="D145" t="s">
        <v>11</v>
      </c>
      <c r="E145">
        <v>80</v>
      </c>
      <c r="F145">
        <v>2.6</v>
      </c>
      <c r="G145" s="8">
        <v>44985</v>
      </c>
      <c r="H145">
        <v>2023</v>
      </c>
      <c r="I145">
        <v>1</v>
      </c>
      <c r="J145">
        <v>2</v>
      </c>
      <c r="K145" t="s">
        <v>1047</v>
      </c>
      <c r="L145" t="s">
        <v>1042</v>
      </c>
      <c r="M145">
        <v>2023</v>
      </c>
      <c r="N145" t="s">
        <v>1076</v>
      </c>
      <c r="O145">
        <v>3</v>
      </c>
    </row>
    <row r="146" spans="1:15" x14ac:dyDescent="0.25">
      <c r="A146" t="s">
        <v>171</v>
      </c>
      <c r="B146" t="s">
        <v>8</v>
      </c>
      <c r="C146">
        <v>155</v>
      </c>
      <c r="D146" t="s">
        <v>6</v>
      </c>
      <c r="E146">
        <v>132</v>
      </c>
      <c r="F146">
        <v>4.5999999999999996</v>
      </c>
      <c r="G146" s="8">
        <v>44986</v>
      </c>
      <c r="H146">
        <v>2023</v>
      </c>
      <c r="I146">
        <v>1</v>
      </c>
      <c r="J146">
        <v>3</v>
      </c>
      <c r="K146" t="s">
        <v>1048</v>
      </c>
      <c r="L146" t="s">
        <v>1043</v>
      </c>
      <c r="M146">
        <v>2023</v>
      </c>
      <c r="N146" t="s">
        <v>1075</v>
      </c>
      <c r="O146">
        <v>5</v>
      </c>
    </row>
    <row r="147" spans="1:15" x14ac:dyDescent="0.25">
      <c r="A147" t="s">
        <v>172</v>
      </c>
      <c r="B147" t="s">
        <v>8</v>
      </c>
      <c r="C147">
        <v>90</v>
      </c>
      <c r="D147" t="s">
        <v>13</v>
      </c>
      <c r="E147">
        <v>170</v>
      </c>
      <c r="F147">
        <v>3.7</v>
      </c>
      <c r="G147" s="8">
        <v>44986</v>
      </c>
      <c r="H147">
        <v>2023</v>
      </c>
      <c r="I147">
        <v>1</v>
      </c>
      <c r="J147">
        <v>3</v>
      </c>
      <c r="K147" t="s">
        <v>1048</v>
      </c>
      <c r="L147" t="s">
        <v>1043</v>
      </c>
      <c r="M147">
        <v>2023</v>
      </c>
      <c r="N147" t="s">
        <v>1074</v>
      </c>
      <c r="O147">
        <v>4</v>
      </c>
    </row>
    <row r="148" spans="1:15" x14ac:dyDescent="0.25">
      <c r="A148" t="s">
        <v>173</v>
      </c>
      <c r="B148" t="s">
        <v>7</v>
      </c>
      <c r="C148">
        <v>166</v>
      </c>
      <c r="D148" t="s">
        <v>9</v>
      </c>
      <c r="E148">
        <v>36</v>
      </c>
      <c r="F148">
        <v>3.8</v>
      </c>
      <c r="G148" s="8">
        <v>44986</v>
      </c>
      <c r="H148">
        <v>2023</v>
      </c>
      <c r="I148">
        <v>1</v>
      </c>
      <c r="J148">
        <v>3</v>
      </c>
      <c r="K148" t="s">
        <v>1048</v>
      </c>
      <c r="L148" t="s">
        <v>1043</v>
      </c>
      <c r="M148">
        <v>2023</v>
      </c>
      <c r="N148" t="s">
        <v>1075</v>
      </c>
      <c r="O148">
        <v>4</v>
      </c>
    </row>
    <row r="149" spans="1:15" x14ac:dyDescent="0.25">
      <c r="A149" t="s">
        <v>174</v>
      </c>
      <c r="B149" t="s">
        <v>24</v>
      </c>
      <c r="C149">
        <v>89</v>
      </c>
      <c r="D149" t="s">
        <v>6</v>
      </c>
      <c r="E149">
        <v>126</v>
      </c>
      <c r="F149">
        <v>3.6</v>
      </c>
      <c r="G149" s="8">
        <v>44986</v>
      </c>
      <c r="H149">
        <v>2023</v>
      </c>
      <c r="I149">
        <v>1</v>
      </c>
      <c r="J149">
        <v>3</v>
      </c>
      <c r="K149" t="s">
        <v>1048</v>
      </c>
      <c r="L149" t="s">
        <v>1043</v>
      </c>
      <c r="M149">
        <v>2023</v>
      </c>
      <c r="N149" t="s">
        <v>1074</v>
      </c>
      <c r="O149">
        <v>4</v>
      </c>
    </row>
    <row r="150" spans="1:15" x14ac:dyDescent="0.25">
      <c r="A150" t="s">
        <v>175</v>
      </c>
      <c r="B150" t="s">
        <v>19</v>
      </c>
      <c r="C150">
        <v>152</v>
      </c>
      <c r="D150" t="s">
        <v>11</v>
      </c>
      <c r="E150">
        <v>215</v>
      </c>
      <c r="F150">
        <v>4.4000000000000004</v>
      </c>
      <c r="G150" s="8">
        <v>44986</v>
      </c>
      <c r="H150">
        <v>2023</v>
      </c>
      <c r="I150">
        <v>1</v>
      </c>
      <c r="J150">
        <v>3</v>
      </c>
      <c r="K150" t="s">
        <v>1048</v>
      </c>
      <c r="L150" t="s">
        <v>1043</v>
      </c>
      <c r="M150">
        <v>2023</v>
      </c>
      <c r="N150" t="s">
        <v>1075</v>
      </c>
      <c r="O150">
        <v>4</v>
      </c>
    </row>
    <row r="151" spans="1:15" x14ac:dyDescent="0.25">
      <c r="A151" t="s">
        <v>176</v>
      </c>
      <c r="B151" t="s">
        <v>24</v>
      </c>
      <c r="C151">
        <v>137</v>
      </c>
      <c r="D151" t="s">
        <v>13</v>
      </c>
      <c r="E151">
        <v>114</v>
      </c>
      <c r="F151">
        <v>3.2</v>
      </c>
      <c r="G151" s="8">
        <v>44986</v>
      </c>
      <c r="H151">
        <v>2023</v>
      </c>
      <c r="I151">
        <v>1</v>
      </c>
      <c r="J151">
        <v>3</v>
      </c>
      <c r="K151" t="s">
        <v>1048</v>
      </c>
      <c r="L151" t="s">
        <v>1043</v>
      </c>
      <c r="M151">
        <v>2023</v>
      </c>
      <c r="N151" t="s">
        <v>1075</v>
      </c>
      <c r="O151">
        <v>3</v>
      </c>
    </row>
    <row r="152" spans="1:15" x14ac:dyDescent="0.25">
      <c r="A152" t="s">
        <v>177</v>
      </c>
      <c r="B152" t="s">
        <v>24</v>
      </c>
      <c r="C152">
        <v>43</v>
      </c>
      <c r="D152" t="s">
        <v>13</v>
      </c>
      <c r="E152">
        <v>99</v>
      </c>
      <c r="F152">
        <v>4.7</v>
      </c>
      <c r="G152" s="8">
        <v>44986</v>
      </c>
      <c r="H152">
        <v>2023</v>
      </c>
      <c r="I152">
        <v>1</v>
      </c>
      <c r="J152">
        <v>3</v>
      </c>
      <c r="K152" t="s">
        <v>1048</v>
      </c>
      <c r="L152" t="s">
        <v>1043</v>
      </c>
      <c r="M152">
        <v>2023</v>
      </c>
      <c r="N152" t="s">
        <v>1076</v>
      </c>
      <c r="O152">
        <v>5</v>
      </c>
    </row>
    <row r="153" spans="1:15" x14ac:dyDescent="0.25">
      <c r="A153" t="s">
        <v>178</v>
      </c>
      <c r="B153" t="s">
        <v>18</v>
      </c>
      <c r="C153">
        <v>114</v>
      </c>
      <c r="D153" t="s">
        <v>13</v>
      </c>
      <c r="E153">
        <v>23</v>
      </c>
      <c r="F153">
        <v>4.8</v>
      </c>
      <c r="G153" s="8">
        <v>44987</v>
      </c>
      <c r="H153">
        <v>2023</v>
      </c>
      <c r="I153">
        <v>1</v>
      </c>
      <c r="J153">
        <v>3</v>
      </c>
      <c r="K153" t="s">
        <v>1048</v>
      </c>
      <c r="L153" t="s">
        <v>1044</v>
      </c>
      <c r="M153">
        <v>2023</v>
      </c>
      <c r="N153" t="s">
        <v>1074</v>
      </c>
      <c r="O153">
        <v>5</v>
      </c>
    </row>
    <row r="154" spans="1:15" x14ac:dyDescent="0.25">
      <c r="A154" t="s">
        <v>179</v>
      </c>
      <c r="B154" t="s">
        <v>21</v>
      </c>
      <c r="C154">
        <v>103</v>
      </c>
      <c r="D154" t="s">
        <v>6</v>
      </c>
      <c r="E154">
        <v>75</v>
      </c>
      <c r="F154">
        <v>2.7</v>
      </c>
      <c r="G154" s="8">
        <v>44987</v>
      </c>
      <c r="H154">
        <v>2023</v>
      </c>
      <c r="I154">
        <v>1</v>
      </c>
      <c r="J154">
        <v>3</v>
      </c>
      <c r="K154" t="s">
        <v>1048</v>
      </c>
      <c r="L154" t="s">
        <v>1044</v>
      </c>
      <c r="M154">
        <v>2023</v>
      </c>
      <c r="N154" t="s">
        <v>1074</v>
      </c>
      <c r="O154">
        <v>3</v>
      </c>
    </row>
    <row r="155" spans="1:15" x14ac:dyDescent="0.25">
      <c r="A155" t="s">
        <v>180</v>
      </c>
      <c r="B155" t="s">
        <v>24</v>
      </c>
      <c r="C155">
        <v>98</v>
      </c>
      <c r="D155" t="s">
        <v>11</v>
      </c>
      <c r="E155">
        <v>100</v>
      </c>
      <c r="F155">
        <v>3.8</v>
      </c>
      <c r="G155" s="8">
        <v>44987</v>
      </c>
      <c r="H155">
        <v>2023</v>
      </c>
      <c r="I155">
        <v>1</v>
      </c>
      <c r="J155">
        <v>3</v>
      </c>
      <c r="K155" t="s">
        <v>1048</v>
      </c>
      <c r="L155" t="s">
        <v>1044</v>
      </c>
      <c r="M155">
        <v>2023</v>
      </c>
      <c r="N155" t="s">
        <v>1074</v>
      </c>
      <c r="O155">
        <v>4</v>
      </c>
    </row>
    <row r="156" spans="1:15" x14ac:dyDescent="0.25">
      <c r="A156" t="s">
        <v>181</v>
      </c>
      <c r="B156" t="s">
        <v>7</v>
      </c>
      <c r="C156">
        <v>106</v>
      </c>
      <c r="D156" t="s">
        <v>9</v>
      </c>
      <c r="E156">
        <v>108</v>
      </c>
      <c r="F156">
        <v>4.3</v>
      </c>
      <c r="G156" s="8">
        <v>44987</v>
      </c>
      <c r="H156">
        <v>2023</v>
      </c>
      <c r="I156">
        <v>1</v>
      </c>
      <c r="J156">
        <v>3</v>
      </c>
      <c r="K156" t="s">
        <v>1048</v>
      </c>
      <c r="L156" t="s">
        <v>1044</v>
      </c>
      <c r="M156">
        <v>2023</v>
      </c>
      <c r="N156" t="s">
        <v>1074</v>
      </c>
      <c r="O156">
        <v>4</v>
      </c>
    </row>
    <row r="157" spans="1:15" x14ac:dyDescent="0.25">
      <c r="A157" t="s">
        <v>182</v>
      </c>
      <c r="B157" t="s">
        <v>12</v>
      </c>
      <c r="C157">
        <v>96</v>
      </c>
      <c r="D157" t="s">
        <v>9</v>
      </c>
      <c r="E157">
        <v>108</v>
      </c>
      <c r="F157">
        <v>5</v>
      </c>
      <c r="G157" s="8">
        <v>44987</v>
      </c>
      <c r="H157">
        <v>2023</v>
      </c>
      <c r="I157">
        <v>1</v>
      </c>
      <c r="J157">
        <v>3</v>
      </c>
      <c r="K157" t="s">
        <v>1048</v>
      </c>
      <c r="L157" t="s">
        <v>1044</v>
      </c>
      <c r="M157">
        <v>2023</v>
      </c>
      <c r="N157" t="s">
        <v>1074</v>
      </c>
      <c r="O157">
        <v>5</v>
      </c>
    </row>
    <row r="158" spans="1:15" x14ac:dyDescent="0.25">
      <c r="A158" t="s">
        <v>183</v>
      </c>
      <c r="B158" t="s">
        <v>21</v>
      </c>
      <c r="C158">
        <v>70</v>
      </c>
      <c r="D158" t="s">
        <v>9</v>
      </c>
      <c r="E158">
        <v>28</v>
      </c>
      <c r="F158">
        <v>4.8</v>
      </c>
      <c r="G158" s="8">
        <v>44987</v>
      </c>
      <c r="H158">
        <v>2023</v>
      </c>
      <c r="I158">
        <v>1</v>
      </c>
      <c r="J158">
        <v>3</v>
      </c>
      <c r="K158" t="s">
        <v>1048</v>
      </c>
      <c r="L158" t="s">
        <v>1044</v>
      </c>
      <c r="M158">
        <v>2023</v>
      </c>
      <c r="N158" t="s">
        <v>1074</v>
      </c>
      <c r="O158">
        <v>5</v>
      </c>
    </row>
    <row r="159" spans="1:15" x14ac:dyDescent="0.25">
      <c r="A159" t="s">
        <v>184</v>
      </c>
      <c r="B159" t="s">
        <v>22</v>
      </c>
      <c r="C159">
        <v>86</v>
      </c>
      <c r="D159" t="s">
        <v>10</v>
      </c>
      <c r="E159">
        <v>70</v>
      </c>
      <c r="F159">
        <v>4.9000000000000004</v>
      </c>
      <c r="G159" s="8">
        <v>44988</v>
      </c>
      <c r="H159">
        <v>2023</v>
      </c>
      <c r="I159">
        <v>1</v>
      </c>
      <c r="J159">
        <v>3</v>
      </c>
      <c r="K159" t="s">
        <v>1048</v>
      </c>
      <c r="L159" t="s">
        <v>1045</v>
      </c>
      <c r="M159">
        <v>2023</v>
      </c>
      <c r="N159" t="s">
        <v>1074</v>
      </c>
      <c r="O159">
        <v>5</v>
      </c>
    </row>
    <row r="160" spans="1:15" x14ac:dyDescent="0.25">
      <c r="A160" t="s">
        <v>185</v>
      </c>
      <c r="B160" t="s">
        <v>23</v>
      </c>
      <c r="C160">
        <v>64</v>
      </c>
      <c r="D160" t="s">
        <v>10</v>
      </c>
      <c r="E160">
        <v>172</v>
      </c>
      <c r="F160">
        <v>4.0999999999999996</v>
      </c>
      <c r="G160" s="8">
        <v>44988</v>
      </c>
      <c r="H160">
        <v>2023</v>
      </c>
      <c r="I160">
        <v>1</v>
      </c>
      <c r="J160">
        <v>3</v>
      </c>
      <c r="K160" t="s">
        <v>1048</v>
      </c>
      <c r="L160" t="s">
        <v>1045</v>
      </c>
      <c r="M160">
        <v>2023</v>
      </c>
      <c r="N160" t="s">
        <v>1074</v>
      </c>
      <c r="O160">
        <v>4</v>
      </c>
    </row>
    <row r="161" spans="1:15" x14ac:dyDescent="0.25">
      <c r="A161" t="s">
        <v>186</v>
      </c>
      <c r="B161" t="s">
        <v>12</v>
      </c>
      <c r="C161">
        <v>113</v>
      </c>
      <c r="D161" t="s">
        <v>11</v>
      </c>
      <c r="E161">
        <v>123</v>
      </c>
      <c r="F161">
        <v>4.4000000000000004</v>
      </c>
      <c r="G161" s="8">
        <v>44988</v>
      </c>
      <c r="H161">
        <v>2023</v>
      </c>
      <c r="I161">
        <v>1</v>
      </c>
      <c r="J161">
        <v>3</v>
      </c>
      <c r="K161" t="s">
        <v>1048</v>
      </c>
      <c r="L161" t="s">
        <v>1045</v>
      </c>
      <c r="M161">
        <v>2023</v>
      </c>
      <c r="N161" t="s">
        <v>1074</v>
      </c>
      <c r="O161">
        <v>4</v>
      </c>
    </row>
    <row r="162" spans="1:15" x14ac:dyDescent="0.25">
      <c r="A162" t="s">
        <v>187</v>
      </c>
      <c r="B162" t="s">
        <v>12</v>
      </c>
      <c r="C162">
        <v>21</v>
      </c>
      <c r="D162" t="s">
        <v>9</v>
      </c>
      <c r="E162">
        <v>93</v>
      </c>
      <c r="F162">
        <v>3.4</v>
      </c>
      <c r="G162" s="8">
        <v>44988</v>
      </c>
      <c r="H162">
        <v>2023</v>
      </c>
      <c r="I162">
        <v>1</v>
      </c>
      <c r="J162">
        <v>3</v>
      </c>
      <c r="K162" t="s">
        <v>1048</v>
      </c>
      <c r="L162" t="s">
        <v>1045</v>
      </c>
      <c r="M162">
        <v>2023</v>
      </c>
      <c r="N162" t="s">
        <v>1077</v>
      </c>
      <c r="O162">
        <v>3</v>
      </c>
    </row>
    <row r="163" spans="1:15" x14ac:dyDescent="0.25">
      <c r="A163" t="s">
        <v>188</v>
      </c>
      <c r="B163" t="s">
        <v>16</v>
      </c>
      <c r="C163">
        <v>107</v>
      </c>
      <c r="D163" t="s">
        <v>10</v>
      </c>
      <c r="E163">
        <v>66</v>
      </c>
      <c r="F163">
        <v>4</v>
      </c>
      <c r="G163" s="8">
        <v>44988</v>
      </c>
      <c r="H163">
        <v>2023</v>
      </c>
      <c r="I163">
        <v>1</v>
      </c>
      <c r="J163">
        <v>3</v>
      </c>
      <c r="K163" t="s">
        <v>1048</v>
      </c>
      <c r="L163" t="s">
        <v>1045</v>
      </c>
      <c r="M163">
        <v>2023</v>
      </c>
      <c r="N163" t="s">
        <v>1074</v>
      </c>
      <c r="O163">
        <v>4</v>
      </c>
    </row>
    <row r="164" spans="1:15" x14ac:dyDescent="0.25">
      <c r="A164" t="s">
        <v>189</v>
      </c>
      <c r="B164" t="s">
        <v>16</v>
      </c>
      <c r="C164">
        <v>131</v>
      </c>
      <c r="D164" t="s">
        <v>9</v>
      </c>
      <c r="E164">
        <v>39</v>
      </c>
      <c r="F164">
        <v>2.4</v>
      </c>
      <c r="G164" s="8">
        <v>44988</v>
      </c>
      <c r="H164">
        <v>2023</v>
      </c>
      <c r="I164">
        <v>1</v>
      </c>
      <c r="J164">
        <v>3</v>
      </c>
      <c r="K164" t="s">
        <v>1048</v>
      </c>
      <c r="L164" t="s">
        <v>1045</v>
      </c>
      <c r="M164">
        <v>2023</v>
      </c>
      <c r="N164" t="s">
        <v>1075</v>
      </c>
      <c r="O164">
        <v>2</v>
      </c>
    </row>
    <row r="165" spans="1:15" x14ac:dyDescent="0.25">
      <c r="A165" t="s">
        <v>190</v>
      </c>
      <c r="B165" t="s">
        <v>20</v>
      </c>
      <c r="C165">
        <v>11</v>
      </c>
      <c r="D165" t="s">
        <v>6</v>
      </c>
      <c r="E165">
        <v>25</v>
      </c>
      <c r="F165">
        <v>2.1</v>
      </c>
      <c r="G165" s="8">
        <v>44988</v>
      </c>
      <c r="H165">
        <v>2023</v>
      </c>
      <c r="I165">
        <v>1</v>
      </c>
      <c r="J165">
        <v>3</v>
      </c>
      <c r="K165" t="s">
        <v>1048</v>
      </c>
      <c r="L165" t="s">
        <v>1045</v>
      </c>
      <c r="M165">
        <v>2023</v>
      </c>
      <c r="N165" t="s">
        <v>1077</v>
      </c>
      <c r="O165">
        <v>2</v>
      </c>
    </row>
    <row r="166" spans="1:15" x14ac:dyDescent="0.25">
      <c r="A166" t="s">
        <v>191</v>
      </c>
      <c r="B166" t="s">
        <v>17</v>
      </c>
      <c r="C166">
        <v>86</v>
      </c>
      <c r="D166" t="s">
        <v>11</v>
      </c>
      <c r="E166">
        <v>68</v>
      </c>
      <c r="F166">
        <v>3</v>
      </c>
      <c r="G166" s="8">
        <v>44988</v>
      </c>
      <c r="H166">
        <v>2023</v>
      </c>
      <c r="I166">
        <v>1</v>
      </c>
      <c r="J166">
        <v>3</v>
      </c>
      <c r="K166" t="s">
        <v>1048</v>
      </c>
      <c r="L166" t="s">
        <v>1045</v>
      </c>
      <c r="M166">
        <v>2023</v>
      </c>
      <c r="N166" t="s">
        <v>1074</v>
      </c>
      <c r="O166">
        <v>3</v>
      </c>
    </row>
    <row r="167" spans="1:15" x14ac:dyDescent="0.25">
      <c r="A167" t="s">
        <v>192</v>
      </c>
      <c r="B167" t="s">
        <v>23</v>
      </c>
      <c r="C167">
        <v>28</v>
      </c>
      <c r="D167" t="s">
        <v>6</v>
      </c>
      <c r="E167">
        <v>84</v>
      </c>
      <c r="F167">
        <v>3.2</v>
      </c>
      <c r="G167" s="8">
        <v>44988</v>
      </c>
      <c r="H167">
        <v>2023</v>
      </c>
      <c r="I167">
        <v>1</v>
      </c>
      <c r="J167">
        <v>3</v>
      </c>
      <c r="K167" t="s">
        <v>1048</v>
      </c>
      <c r="L167" t="s">
        <v>1045</v>
      </c>
      <c r="M167">
        <v>2023</v>
      </c>
      <c r="N167" t="s">
        <v>1077</v>
      </c>
      <c r="O167">
        <v>3</v>
      </c>
    </row>
    <row r="168" spans="1:15" x14ac:dyDescent="0.25">
      <c r="A168" t="s">
        <v>193</v>
      </c>
      <c r="B168" t="s">
        <v>8</v>
      </c>
      <c r="C168">
        <v>139</v>
      </c>
      <c r="D168" t="s">
        <v>9</v>
      </c>
      <c r="E168">
        <v>88</v>
      </c>
      <c r="F168">
        <v>3.4</v>
      </c>
      <c r="G168" s="8">
        <v>44989</v>
      </c>
      <c r="H168">
        <v>2023</v>
      </c>
      <c r="I168">
        <v>1</v>
      </c>
      <c r="J168">
        <v>3</v>
      </c>
      <c r="K168" t="s">
        <v>1048</v>
      </c>
      <c r="L168" t="s">
        <v>1046</v>
      </c>
      <c r="M168">
        <v>2023</v>
      </c>
      <c r="N168" t="s">
        <v>1075</v>
      </c>
      <c r="O168">
        <v>3</v>
      </c>
    </row>
    <row r="169" spans="1:15" x14ac:dyDescent="0.25">
      <c r="A169" t="s">
        <v>194</v>
      </c>
      <c r="B169" t="s">
        <v>7</v>
      </c>
      <c r="C169">
        <v>82</v>
      </c>
      <c r="D169" t="s">
        <v>11</v>
      </c>
      <c r="E169">
        <v>93</v>
      </c>
      <c r="F169">
        <v>2.7</v>
      </c>
      <c r="G169" s="8">
        <v>44989</v>
      </c>
      <c r="H169">
        <v>2023</v>
      </c>
      <c r="I169">
        <v>1</v>
      </c>
      <c r="J169">
        <v>3</v>
      </c>
      <c r="K169" t="s">
        <v>1048</v>
      </c>
      <c r="L169" t="s">
        <v>1046</v>
      </c>
      <c r="M169">
        <v>2023</v>
      </c>
      <c r="N169" t="s">
        <v>1074</v>
      </c>
      <c r="O169">
        <v>3</v>
      </c>
    </row>
    <row r="170" spans="1:15" x14ac:dyDescent="0.25">
      <c r="A170" t="s">
        <v>195</v>
      </c>
      <c r="B170" t="s">
        <v>12</v>
      </c>
      <c r="C170">
        <v>101</v>
      </c>
      <c r="D170" t="s">
        <v>6</v>
      </c>
      <c r="E170">
        <v>128</v>
      </c>
      <c r="F170">
        <v>5</v>
      </c>
      <c r="G170" s="8">
        <v>44989</v>
      </c>
      <c r="H170">
        <v>2023</v>
      </c>
      <c r="I170">
        <v>1</v>
      </c>
      <c r="J170">
        <v>3</v>
      </c>
      <c r="K170" t="s">
        <v>1048</v>
      </c>
      <c r="L170" t="s">
        <v>1046</v>
      </c>
      <c r="M170">
        <v>2023</v>
      </c>
      <c r="N170" t="s">
        <v>1074</v>
      </c>
      <c r="O170">
        <v>5</v>
      </c>
    </row>
    <row r="171" spans="1:15" x14ac:dyDescent="0.25">
      <c r="A171" t="s">
        <v>196</v>
      </c>
      <c r="B171" t="s">
        <v>23</v>
      </c>
      <c r="C171">
        <v>75</v>
      </c>
      <c r="D171" t="s">
        <v>13</v>
      </c>
      <c r="E171">
        <v>40</v>
      </c>
      <c r="F171">
        <v>3.4</v>
      </c>
      <c r="G171" s="8">
        <v>44989</v>
      </c>
      <c r="H171">
        <v>2023</v>
      </c>
      <c r="I171">
        <v>1</v>
      </c>
      <c r="J171">
        <v>3</v>
      </c>
      <c r="K171" t="s">
        <v>1048</v>
      </c>
      <c r="L171" t="s">
        <v>1046</v>
      </c>
      <c r="M171">
        <v>2023</v>
      </c>
      <c r="N171" t="s">
        <v>1074</v>
      </c>
      <c r="O171">
        <v>3</v>
      </c>
    </row>
    <row r="172" spans="1:15" x14ac:dyDescent="0.25">
      <c r="A172" t="s">
        <v>197</v>
      </c>
      <c r="B172" t="s">
        <v>18</v>
      </c>
      <c r="C172">
        <v>40</v>
      </c>
      <c r="D172" t="s">
        <v>6</v>
      </c>
      <c r="E172">
        <v>92</v>
      </c>
      <c r="F172">
        <v>4.7</v>
      </c>
      <c r="G172" s="8">
        <v>44990</v>
      </c>
      <c r="H172">
        <v>2023</v>
      </c>
      <c r="I172">
        <v>1</v>
      </c>
      <c r="J172">
        <v>3</v>
      </c>
      <c r="K172" t="s">
        <v>1048</v>
      </c>
      <c r="L172" t="s">
        <v>1040</v>
      </c>
      <c r="M172">
        <v>2023</v>
      </c>
      <c r="N172" t="s">
        <v>1076</v>
      </c>
      <c r="O172">
        <v>5</v>
      </c>
    </row>
    <row r="173" spans="1:15" x14ac:dyDescent="0.25">
      <c r="A173" t="s">
        <v>198</v>
      </c>
      <c r="B173" t="s">
        <v>24</v>
      </c>
      <c r="C173">
        <v>86</v>
      </c>
      <c r="D173" t="s">
        <v>9</v>
      </c>
      <c r="E173">
        <v>27</v>
      </c>
      <c r="F173">
        <v>4.5</v>
      </c>
      <c r="G173" s="8">
        <v>44990</v>
      </c>
      <c r="H173">
        <v>2023</v>
      </c>
      <c r="I173">
        <v>1</v>
      </c>
      <c r="J173">
        <v>3</v>
      </c>
      <c r="K173" t="s">
        <v>1048</v>
      </c>
      <c r="L173" t="s">
        <v>1040</v>
      </c>
      <c r="M173">
        <v>2023</v>
      </c>
      <c r="N173" t="s">
        <v>1074</v>
      </c>
      <c r="O173">
        <v>4</v>
      </c>
    </row>
    <row r="174" spans="1:15" x14ac:dyDescent="0.25">
      <c r="A174" t="s">
        <v>199</v>
      </c>
      <c r="B174" t="s">
        <v>15</v>
      </c>
      <c r="C174">
        <v>131</v>
      </c>
      <c r="D174" t="s">
        <v>10</v>
      </c>
      <c r="E174">
        <v>140</v>
      </c>
      <c r="F174">
        <v>4.0999999999999996</v>
      </c>
      <c r="G174" s="8">
        <v>44990</v>
      </c>
      <c r="H174">
        <v>2023</v>
      </c>
      <c r="I174">
        <v>1</v>
      </c>
      <c r="J174">
        <v>3</v>
      </c>
      <c r="K174" t="s">
        <v>1048</v>
      </c>
      <c r="L174" t="s">
        <v>1040</v>
      </c>
      <c r="M174">
        <v>2023</v>
      </c>
      <c r="N174" t="s">
        <v>1075</v>
      </c>
      <c r="O174">
        <v>4</v>
      </c>
    </row>
    <row r="175" spans="1:15" x14ac:dyDescent="0.25">
      <c r="A175" t="s">
        <v>200</v>
      </c>
      <c r="B175" t="s">
        <v>16</v>
      </c>
      <c r="C175">
        <v>67</v>
      </c>
      <c r="D175" t="s">
        <v>11</v>
      </c>
      <c r="E175">
        <v>40</v>
      </c>
      <c r="F175">
        <v>5</v>
      </c>
      <c r="G175" s="8">
        <v>44990</v>
      </c>
      <c r="H175">
        <v>2023</v>
      </c>
      <c r="I175">
        <v>1</v>
      </c>
      <c r="J175">
        <v>3</v>
      </c>
      <c r="K175" t="s">
        <v>1048</v>
      </c>
      <c r="L175" t="s">
        <v>1040</v>
      </c>
      <c r="M175">
        <v>2023</v>
      </c>
      <c r="N175" t="s">
        <v>1074</v>
      </c>
      <c r="O175">
        <v>5</v>
      </c>
    </row>
    <row r="176" spans="1:15" x14ac:dyDescent="0.25">
      <c r="A176" t="s">
        <v>201</v>
      </c>
      <c r="B176" t="s">
        <v>5</v>
      </c>
      <c r="C176">
        <v>71</v>
      </c>
      <c r="D176" t="s">
        <v>6</v>
      </c>
      <c r="E176">
        <v>102</v>
      </c>
      <c r="F176">
        <v>4.7</v>
      </c>
      <c r="G176" s="8">
        <v>44990</v>
      </c>
      <c r="H176">
        <v>2023</v>
      </c>
      <c r="I176">
        <v>1</v>
      </c>
      <c r="J176">
        <v>3</v>
      </c>
      <c r="K176" t="s">
        <v>1048</v>
      </c>
      <c r="L176" t="s">
        <v>1040</v>
      </c>
      <c r="M176">
        <v>2023</v>
      </c>
      <c r="N176" t="s">
        <v>1074</v>
      </c>
      <c r="O176">
        <v>5</v>
      </c>
    </row>
    <row r="177" spans="1:15" x14ac:dyDescent="0.25">
      <c r="A177" t="s">
        <v>202</v>
      </c>
      <c r="B177" t="s">
        <v>15</v>
      </c>
      <c r="C177">
        <v>113</v>
      </c>
      <c r="D177" t="s">
        <v>10</v>
      </c>
      <c r="E177">
        <v>42</v>
      </c>
      <c r="F177">
        <v>4.2</v>
      </c>
      <c r="G177" s="8">
        <v>44990</v>
      </c>
      <c r="H177">
        <v>2023</v>
      </c>
      <c r="I177">
        <v>1</v>
      </c>
      <c r="J177">
        <v>3</v>
      </c>
      <c r="K177" t="s">
        <v>1048</v>
      </c>
      <c r="L177" t="s">
        <v>1040</v>
      </c>
      <c r="M177">
        <v>2023</v>
      </c>
      <c r="N177" t="s">
        <v>1074</v>
      </c>
      <c r="O177">
        <v>4</v>
      </c>
    </row>
    <row r="178" spans="1:15" x14ac:dyDescent="0.25">
      <c r="A178" t="s">
        <v>203</v>
      </c>
      <c r="B178" t="s">
        <v>7</v>
      </c>
      <c r="C178">
        <v>53</v>
      </c>
      <c r="D178" t="s">
        <v>9</v>
      </c>
      <c r="E178">
        <v>210</v>
      </c>
      <c r="F178">
        <v>3.9</v>
      </c>
      <c r="G178" s="8">
        <v>44991</v>
      </c>
      <c r="H178">
        <v>2023</v>
      </c>
      <c r="I178">
        <v>1</v>
      </c>
      <c r="J178">
        <v>3</v>
      </c>
      <c r="K178" t="s">
        <v>1048</v>
      </c>
      <c r="L178" t="s">
        <v>1041</v>
      </c>
      <c r="M178">
        <v>2023</v>
      </c>
      <c r="N178" t="s">
        <v>1076</v>
      </c>
      <c r="O178">
        <v>4</v>
      </c>
    </row>
    <row r="179" spans="1:15" x14ac:dyDescent="0.25">
      <c r="A179" t="s">
        <v>204</v>
      </c>
      <c r="B179" t="s">
        <v>15</v>
      </c>
      <c r="C179">
        <v>153</v>
      </c>
      <c r="D179" t="s">
        <v>11</v>
      </c>
      <c r="E179">
        <v>34</v>
      </c>
      <c r="F179">
        <v>3</v>
      </c>
      <c r="G179" s="8">
        <v>44991</v>
      </c>
      <c r="H179">
        <v>2023</v>
      </c>
      <c r="I179">
        <v>1</v>
      </c>
      <c r="J179">
        <v>3</v>
      </c>
      <c r="K179" t="s">
        <v>1048</v>
      </c>
      <c r="L179" t="s">
        <v>1041</v>
      </c>
      <c r="M179">
        <v>2023</v>
      </c>
      <c r="N179" t="s">
        <v>1075</v>
      </c>
      <c r="O179">
        <v>3</v>
      </c>
    </row>
    <row r="180" spans="1:15" x14ac:dyDescent="0.25">
      <c r="A180" t="s">
        <v>205</v>
      </c>
      <c r="B180" t="s">
        <v>16</v>
      </c>
      <c r="C180">
        <v>73</v>
      </c>
      <c r="D180" t="s">
        <v>13</v>
      </c>
      <c r="E180">
        <v>215</v>
      </c>
      <c r="F180">
        <v>3.6</v>
      </c>
      <c r="G180" s="8">
        <v>44991</v>
      </c>
      <c r="H180">
        <v>2023</v>
      </c>
      <c r="I180">
        <v>1</v>
      </c>
      <c r="J180">
        <v>3</v>
      </c>
      <c r="K180" t="s">
        <v>1048</v>
      </c>
      <c r="L180" t="s">
        <v>1041</v>
      </c>
      <c r="M180">
        <v>2023</v>
      </c>
      <c r="N180" t="s">
        <v>1074</v>
      </c>
      <c r="O180">
        <v>4</v>
      </c>
    </row>
    <row r="181" spans="1:15" x14ac:dyDescent="0.25">
      <c r="A181" t="s">
        <v>207</v>
      </c>
      <c r="B181" t="s">
        <v>8</v>
      </c>
      <c r="C181">
        <v>115</v>
      </c>
      <c r="D181" t="s">
        <v>9</v>
      </c>
      <c r="E181">
        <v>48</v>
      </c>
      <c r="F181">
        <v>4.7</v>
      </c>
      <c r="G181" s="8">
        <v>44992</v>
      </c>
      <c r="H181">
        <v>2023</v>
      </c>
      <c r="I181">
        <v>1</v>
      </c>
      <c r="J181">
        <v>3</v>
      </c>
      <c r="K181" t="s">
        <v>1048</v>
      </c>
      <c r="L181" t="s">
        <v>1042</v>
      </c>
      <c r="M181">
        <v>2023</v>
      </c>
      <c r="N181" t="s">
        <v>1074</v>
      </c>
      <c r="O181">
        <v>5</v>
      </c>
    </row>
    <row r="182" spans="1:15" x14ac:dyDescent="0.25">
      <c r="A182" t="s">
        <v>208</v>
      </c>
      <c r="B182" t="s">
        <v>15</v>
      </c>
      <c r="C182">
        <v>69</v>
      </c>
      <c r="D182" t="s">
        <v>9</v>
      </c>
      <c r="E182">
        <v>132</v>
      </c>
      <c r="F182">
        <v>4.5</v>
      </c>
      <c r="G182" s="8">
        <v>44992</v>
      </c>
      <c r="H182">
        <v>2023</v>
      </c>
      <c r="I182">
        <v>1</v>
      </c>
      <c r="J182">
        <v>3</v>
      </c>
      <c r="K182" t="s">
        <v>1048</v>
      </c>
      <c r="L182" t="s">
        <v>1042</v>
      </c>
      <c r="M182">
        <v>2023</v>
      </c>
      <c r="N182" t="s">
        <v>1074</v>
      </c>
      <c r="O182">
        <v>4</v>
      </c>
    </row>
    <row r="183" spans="1:15" x14ac:dyDescent="0.25">
      <c r="A183" t="s">
        <v>209</v>
      </c>
      <c r="B183" t="s">
        <v>24</v>
      </c>
      <c r="C183">
        <v>103</v>
      </c>
      <c r="D183" t="s">
        <v>10</v>
      </c>
      <c r="E183">
        <v>172</v>
      </c>
      <c r="F183">
        <v>4.3</v>
      </c>
      <c r="G183" s="8">
        <v>44992</v>
      </c>
      <c r="H183">
        <v>2023</v>
      </c>
      <c r="I183">
        <v>1</v>
      </c>
      <c r="J183">
        <v>3</v>
      </c>
      <c r="K183" t="s">
        <v>1048</v>
      </c>
      <c r="L183" t="s">
        <v>1042</v>
      </c>
      <c r="M183">
        <v>2023</v>
      </c>
      <c r="N183" t="s">
        <v>1074</v>
      </c>
      <c r="O183">
        <v>4</v>
      </c>
    </row>
    <row r="184" spans="1:15" x14ac:dyDescent="0.25">
      <c r="A184" t="s">
        <v>210</v>
      </c>
      <c r="B184" t="s">
        <v>24</v>
      </c>
      <c r="C184">
        <v>75</v>
      </c>
      <c r="D184" t="s">
        <v>10</v>
      </c>
      <c r="E184">
        <v>111</v>
      </c>
      <c r="F184">
        <v>3.4</v>
      </c>
      <c r="G184" s="8">
        <v>44992</v>
      </c>
      <c r="H184">
        <v>2023</v>
      </c>
      <c r="I184">
        <v>1</v>
      </c>
      <c r="J184">
        <v>3</v>
      </c>
      <c r="K184" t="s">
        <v>1048</v>
      </c>
      <c r="L184" t="s">
        <v>1042</v>
      </c>
      <c r="M184">
        <v>2023</v>
      </c>
      <c r="N184" t="s">
        <v>1074</v>
      </c>
      <c r="O184">
        <v>3</v>
      </c>
    </row>
    <row r="185" spans="1:15" x14ac:dyDescent="0.25">
      <c r="A185" t="s">
        <v>211</v>
      </c>
      <c r="B185" t="s">
        <v>14</v>
      </c>
      <c r="C185">
        <v>92</v>
      </c>
      <c r="D185" t="s">
        <v>10</v>
      </c>
      <c r="E185">
        <v>58</v>
      </c>
      <c r="F185">
        <v>3.6</v>
      </c>
      <c r="G185" s="8">
        <v>44992</v>
      </c>
      <c r="H185">
        <v>2023</v>
      </c>
      <c r="I185">
        <v>1</v>
      </c>
      <c r="J185">
        <v>3</v>
      </c>
      <c r="K185" t="s">
        <v>1048</v>
      </c>
      <c r="L185" t="s">
        <v>1042</v>
      </c>
      <c r="M185">
        <v>2023</v>
      </c>
      <c r="N185" t="s">
        <v>1074</v>
      </c>
      <c r="O185">
        <v>4</v>
      </c>
    </row>
    <row r="186" spans="1:15" x14ac:dyDescent="0.25">
      <c r="A186" t="s">
        <v>212</v>
      </c>
      <c r="B186" t="s">
        <v>14</v>
      </c>
      <c r="C186">
        <v>41</v>
      </c>
      <c r="D186" t="s">
        <v>13</v>
      </c>
      <c r="E186">
        <v>68</v>
      </c>
      <c r="F186">
        <v>4</v>
      </c>
      <c r="G186" s="8">
        <v>44992</v>
      </c>
      <c r="H186">
        <v>2023</v>
      </c>
      <c r="I186">
        <v>1</v>
      </c>
      <c r="J186">
        <v>3</v>
      </c>
      <c r="K186" t="s">
        <v>1048</v>
      </c>
      <c r="L186" t="s">
        <v>1042</v>
      </c>
      <c r="M186">
        <v>2023</v>
      </c>
      <c r="N186" t="s">
        <v>1076</v>
      </c>
      <c r="O186">
        <v>4</v>
      </c>
    </row>
    <row r="187" spans="1:15" x14ac:dyDescent="0.25">
      <c r="A187" t="s">
        <v>213</v>
      </c>
      <c r="B187" t="s">
        <v>24</v>
      </c>
      <c r="C187">
        <v>134</v>
      </c>
      <c r="D187" t="s">
        <v>11</v>
      </c>
      <c r="E187">
        <v>160</v>
      </c>
      <c r="F187">
        <v>4.5</v>
      </c>
      <c r="G187" s="8">
        <v>44992</v>
      </c>
      <c r="H187">
        <v>2023</v>
      </c>
      <c r="I187">
        <v>1</v>
      </c>
      <c r="J187">
        <v>3</v>
      </c>
      <c r="K187" t="s">
        <v>1048</v>
      </c>
      <c r="L187" t="s">
        <v>1042</v>
      </c>
      <c r="M187">
        <v>2023</v>
      </c>
      <c r="N187" t="s">
        <v>1075</v>
      </c>
      <c r="O187">
        <v>4</v>
      </c>
    </row>
    <row r="188" spans="1:15" x14ac:dyDescent="0.25">
      <c r="A188" t="s">
        <v>214</v>
      </c>
      <c r="B188" t="s">
        <v>17</v>
      </c>
      <c r="C188">
        <v>80</v>
      </c>
      <c r="D188" t="s">
        <v>6</v>
      </c>
      <c r="E188">
        <v>45</v>
      </c>
      <c r="F188">
        <v>3</v>
      </c>
      <c r="G188" s="8">
        <v>44992</v>
      </c>
      <c r="H188">
        <v>2023</v>
      </c>
      <c r="I188">
        <v>1</v>
      </c>
      <c r="J188">
        <v>3</v>
      </c>
      <c r="K188" t="s">
        <v>1048</v>
      </c>
      <c r="L188" t="s">
        <v>1042</v>
      </c>
      <c r="M188">
        <v>2023</v>
      </c>
      <c r="N188" t="s">
        <v>1074</v>
      </c>
      <c r="O188">
        <v>3</v>
      </c>
    </row>
    <row r="189" spans="1:15" x14ac:dyDescent="0.25">
      <c r="A189" t="s">
        <v>215</v>
      </c>
      <c r="B189" t="s">
        <v>5</v>
      </c>
      <c r="C189">
        <v>103</v>
      </c>
      <c r="D189" t="s">
        <v>9</v>
      </c>
      <c r="E189">
        <v>117</v>
      </c>
      <c r="F189">
        <v>3</v>
      </c>
      <c r="G189" s="8">
        <v>44993</v>
      </c>
      <c r="H189">
        <v>2023</v>
      </c>
      <c r="I189">
        <v>1</v>
      </c>
      <c r="J189">
        <v>3</v>
      </c>
      <c r="K189" t="s">
        <v>1048</v>
      </c>
      <c r="L189" t="s">
        <v>1043</v>
      </c>
      <c r="M189">
        <v>2023</v>
      </c>
      <c r="N189" t="s">
        <v>1074</v>
      </c>
      <c r="O189">
        <v>3</v>
      </c>
    </row>
    <row r="190" spans="1:15" x14ac:dyDescent="0.25">
      <c r="A190" t="s">
        <v>216</v>
      </c>
      <c r="B190" t="s">
        <v>7</v>
      </c>
      <c r="C190">
        <v>20</v>
      </c>
      <c r="D190" t="s">
        <v>10</v>
      </c>
      <c r="E190">
        <v>22</v>
      </c>
      <c r="F190">
        <v>1.6</v>
      </c>
      <c r="G190" s="8">
        <v>44994</v>
      </c>
      <c r="H190">
        <v>2023</v>
      </c>
      <c r="I190">
        <v>1</v>
      </c>
      <c r="J190">
        <v>3</v>
      </c>
      <c r="K190" t="s">
        <v>1048</v>
      </c>
      <c r="L190" t="s">
        <v>1044</v>
      </c>
      <c r="M190">
        <v>2023</v>
      </c>
      <c r="N190" t="s">
        <v>1077</v>
      </c>
      <c r="O190">
        <v>2</v>
      </c>
    </row>
    <row r="191" spans="1:15" x14ac:dyDescent="0.25">
      <c r="A191" t="s">
        <v>217</v>
      </c>
      <c r="B191" t="s">
        <v>5</v>
      </c>
      <c r="C191">
        <v>75</v>
      </c>
      <c r="D191" t="s">
        <v>6</v>
      </c>
      <c r="E191">
        <v>195</v>
      </c>
      <c r="F191">
        <v>3</v>
      </c>
      <c r="G191" s="8">
        <v>44994</v>
      </c>
      <c r="H191">
        <v>2023</v>
      </c>
      <c r="I191">
        <v>1</v>
      </c>
      <c r="J191">
        <v>3</v>
      </c>
      <c r="K191" t="s">
        <v>1048</v>
      </c>
      <c r="L191" t="s">
        <v>1044</v>
      </c>
      <c r="M191">
        <v>2023</v>
      </c>
      <c r="N191" t="s">
        <v>1074</v>
      </c>
      <c r="O191">
        <v>3</v>
      </c>
    </row>
    <row r="192" spans="1:15" x14ac:dyDescent="0.25">
      <c r="A192" t="s">
        <v>218</v>
      </c>
      <c r="B192" t="s">
        <v>14</v>
      </c>
      <c r="C192">
        <v>80</v>
      </c>
      <c r="D192" t="s">
        <v>11</v>
      </c>
      <c r="E192">
        <v>168</v>
      </c>
      <c r="F192">
        <v>3.7</v>
      </c>
      <c r="G192" s="8">
        <v>44994</v>
      </c>
      <c r="H192">
        <v>2023</v>
      </c>
      <c r="I192">
        <v>1</v>
      </c>
      <c r="J192">
        <v>3</v>
      </c>
      <c r="K192" t="s">
        <v>1048</v>
      </c>
      <c r="L192" t="s">
        <v>1044</v>
      </c>
      <c r="M192">
        <v>2023</v>
      </c>
      <c r="N192" t="s">
        <v>1074</v>
      </c>
      <c r="O192">
        <v>4</v>
      </c>
    </row>
    <row r="193" spans="1:15" x14ac:dyDescent="0.25">
      <c r="A193" t="s">
        <v>219</v>
      </c>
      <c r="B193" t="s">
        <v>15</v>
      </c>
      <c r="C193">
        <v>85</v>
      </c>
      <c r="D193" t="s">
        <v>13</v>
      </c>
      <c r="E193">
        <v>46</v>
      </c>
      <c r="F193">
        <v>4.9000000000000004</v>
      </c>
      <c r="G193" s="8">
        <v>44995</v>
      </c>
      <c r="H193">
        <v>2023</v>
      </c>
      <c r="I193">
        <v>1</v>
      </c>
      <c r="J193">
        <v>3</v>
      </c>
      <c r="K193" t="s">
        <v>1048</v>
      </c>
      <c r="L193" t="s">
        <v>1045</v>
      </c>
      <c r="M193">
        <v>2023</v>
      </c>
      <c r="N193" t="s">
        <v>1074</v>
      </c>
      <c r="O193">
        <v>5</v>
      </c>
    </row>
    <row r="194" spans="1:15" x14ac:dyDescent="0.25">
      <c r="A194" t="s">
        <v>220</v>
      </c>
      <c r="B194" t="s">
        <v>12</v>
      </c>
      <c r="C194">
        <v>155</v>
      </c>
      <c r="D194" t="s">
        <v>10</v>
      </c>
      <c r="E194">
        <v>164</v>
      </c>
      <c r="F194">
        <v>3.4</v>
      </c>
      <c r="G194" s="8">
        <v>44995</v>
      </c>
      <c r="H194">
        <v>2023</v>
      </c>
      <c r="I194">
        <v>1</v>
      </c>
      <c r="J194">
        <v>3</v>
      </c>
      <c r="K194" t="s">
        <v>1048</v>
      </c>
      <c r="L194" t="s">
        <v>1045</v>
      </c>
      <c r="M194">
        <v>2023</v>
      </c>
      <c r="N194" t="s">
        <v>1075</v>
      </c>
      <c r="O194">
        <v>3</v>
      </c>
    </row>
    <row r="195" spans="1:15" x14ac:dyDescent="0.25">
      <c r="A195" t="s">
        <v>221</v>
      </c>
      <c r="B195" t="s">
        <v>15</v>
      </c>
      <c r="C195">
        <v>63</v>
      </c>
      <c r="D195" t="s">
        <v>13</v>
      </c>
      <c r="E195">
        <v>48</v>
      </c>
      <c r="F195">
        <v>5</v>
      </c>
      <c r="G195" s="8">
        <v>44995</v>
      </c>
      <c r="H195">
        <v>2023</v>
      </c>
      <c r="I195">
        <v>1</v>
      </c>
      <c r="J195">
        <v>3</v>
      </c>
      <c r="K195" t="s">
        <v>1048</v>
      </c>
      <c r="L195" t="s">
        <v>1045</v>
      </c>
      <c r="M195">
        <v>2023</v>
      </c>
      <c r="N195" t="s">
        <v>1074</v>
      </c>
      <c r="O195">
        <v>5</v>
      </c>
    </row>
    <row r="196" spans="1:15" x14ac:dyDescent="0.25">
      <c r="A196" t="s">
        <v>222</v>
      </c>
      <c r="B196" t="s">
        <v>23</v>
      </c>
      <c r="C196">
        <v>105</v>
      </c>
      <c r="D196" t="s">
        <v>9</v>
      </c>
      <c r="E196">
        <v>96</v>
      </c>
      <c r="F196">
        <v>5</v>
      </c>
      <c r="G196" s="8">
        <v>44995</v>
      </c>
      <c r="H196">
        <v>2023</v>
      </c>
      <c r="I196">
        <v>1</v>
      </c>
      <c r="J196">
        <v>3</v>
      </c>
      <c r="K196" t="s">
        <v>1048</v>
      </c>
      <c r="L196" t="s">
        <v>1045</v>
      </c>
      <c r="M196">
        <v>2023</v>
      </c>
      <c r="N196" t="s">
        <v>1074</v>
      </c>
      <c r="O196">
        <v>5</v>
      </c>
    </row>
    <row r="197" spans="1:15" x14ac:dyDescent="0.25">
      <c r="A197" t="s">
        <v>223</v>
      </c>
      <c r="B197" t="s">
        <v>15</v>
      </c>
      <c r="C197">
        <v>71</v>
      </c>
      <c r="D197" t="s">
        <v>13</v>
      </c>
      <c r="E197">
        <v>105</v>
      </c>
      <c r="F197">
        <v>4</v>
      </c>
      <c r="G197" s="8">
        <v>44995</v>
      </c>
      <c r="H197">
        <v>2023</v>
      </c>
      <c r="I197">
        <v>1</v>
      </c>
      <c r="J197">
        <v>3</v>
      </c>
      <c r="K197" t="s">
        <v>1048</v>
      </c>
      <c r="L197" t="s">
        <v>1045</v>
      </c>
      <c r="M197">
        <v>2023</v>
      </c>
      <c r="N197" t="s">
        <v>1074</v>
      </c>
      <c r="O197">
        <v>4</v>
      </c>
    </row>
    <row r="198" spans="1:15" x14ac:dyDescent="0.25">
      <c r="A198" t="s">
        <v>224</v>
      </c>
      <c r="B198" t="s">
        <v>12</v>
      </c>
      <c r="C198">
        <v>100</v>
      </c>
      <c r="D198" t="s">
        <v>13</v>
      </c>
      <c r="E198">
        <v>44</v>
      </c>
      <c r="F198">
        <v>3.6</v>
      </c>
      <c r="G198" s="8">
        <v>44996</v>
      </c>
      <c r="H198">
        <v>2023</v>
      </c>
      <c r="I198">
        <v>1</v>
      </c>
      <c r="J198">
        <v>3</v>
      </c>
      <c r="K198" t="s">
        <v>1048</v>
      </c>
      <c r="L198" t="s">
        <v>1046</v>
      </c>
      <c r="M198">
        <v>2023</v>
      </c>
      <c r="N198" t="s">
        <v>1074</v>
      </c>
      <c r="O198">
        <v>4</v>
      </c>
    </row>
    <row r="199" spans="1:15" x14ac:dyDescent="0.25">
      <c r="A199" t="s">
        <v>225</v>
      </c>
      <c r="B199" t="s">
        <v>20</v>
      </c>
      <c r="C199">
        <v>93</v>
      </c>
      <c r="D199" t="s">
        <v>11</v>
      </c>
      <c r="E199">
        <v>132</v>
      </c>
      <c r="F199">
        <v>3.7</v>
      </c>
      <c r="G199" s="8">
        <v>44996</v>
      </c>
      <c r="H199">
        <v>2023</v>
      </c>
      <c r="I199">
        <v>1</v>
      </c>
      <c r="J199">
        <v>3</v>
      </c>
      <c r="K199" t="s">
        <v>1048</v>
      </c>
      <c r="L199" t="s">
        <v>1046</v>
      </c>
      <c r="M199">
        <v>2023</v>
      </c>
      <c r="N199" t="s">
        <v>1074</v>
      </c>
      <c r="O199">
        <v>4</v>
      </c>
    </row>
    <row r="200" spans="1:15" x14ac:dyDescent="0.25">
      <c r="A200" t="s">
        <v>226</v>
      </c>
      <c r="B200" t="s">
        <v>23</v>
      </c>
      <c r="C200">
        <v>84</v>
      </c>
      <c r="D200" t="s">
        <v>10</v>
      </c>
      <c r="E200">
        <v>54</v>
      </c>
      <c r="F200">
        <v>4.2</v>
      </c>
      <c r="G200" s="8">
        <v>44996</v>
      </c>
      <c r="H200">
        <v>2023</v>
      </c>
      <c r="I200">
        <v>1</v>
      </c>
      <c r="J200">
        <v>3</v>
      </c>
      <c r="K200" t="s">
        <v>1048</v>
      </c>
      <c r="L200" t="s">
        <v>1046</v>
      </c>
      <c r="M200">
        <v>2023</v>
      </c>
      <c r="N200" t="s">
        <v>1074</v>
      </c>
      <c r="O200">
        <v>4</v>
      </c>
    </row>
    <row r="201" spans="1:15" x14ac:dyDescent="0.25">
      <c r="A201" t="s">
        <v>227</v>
      </c>
      <c r="B201" t="s">
        <v>17</v>
      </c>
      <c r="C201">
        <v>56</v>
      </c>
      <c r="D201" t="s">
        <v>6</v>
      </c>
      <c r="E201">
        <v>129</v>
      </c>
      <c r="F201">
        <v>2.1</v>
      </c>
      <c r="G201" s="8">
        <v>44996</v>
      </c>
      <c r="H201">
        <v>2023</v>
      </c>
      <c r="I201">
        <v>1</v>
      </c>
      <c r="J201">
        <v>3</v>
      </c>
      <c r="K201" t="s">
        <v>1048</v>
      </c>
      <c r="L201" t="s">
        <v>1046</v>
      </c>
      <c r="M201">
        <v>2023</v>
      </c>
      <c r="N201" t="s">
        <v>1076</v>
      </c>
      <c r="O201">
        <v>2</v>
      </c>
    </row>
    <row r="202" spans="1:15" x14ac:dyDescent="0.25">
      <c r="A202" t="s">
        <v>228</v>
      </c>
      <c r="B202" t="s">
        <v>17</v>
      </c>
      <c r="C202">
        <v>63</v>
      </c>
      <c r="D202" t="s">
        <v>13</v>
      </c>
      <c r="E202">
        <v>42</v>
      </c>
      <c r="F202">
        <v>4</v>
      </c>
      <c r="G202" s="8">
        <v>44996</v>
      </c>
      <c r="H202">
        <v>2023</v>
      </c>
      <c r="I202">
        <v>1</v>
      </c>
      <c r="J202">
        <v>3</v>
      </c>
      <c r="K202" t="s">
        <v>1048</v>
      </c>
      <c r="L202" t="s">
        <v>1046</v>
      </c>
      <c r="M202">
        <v>2023</v>
      </c>
      <c r="N202" t="s">
        <v>1074</v>
      </c>
      <c r="O202">
        <v>4</v>
      </c>
    </row>
    <row r="203" spans="1:15" x14ac:dyDescent="0.25">
      <c r="A203" t="s">
        <v>229</v>
      </c>
      <c r="B203" t="s">
        <v>22</v>
      </c>
      <c r="C203">
        <v>83</v>
      </c>
      <c r="D203" t="s">
        <v>13</v>
      </c>
      <c r="E203">
        <v>42</v>
      </c>
      <c r="F203">
        <v>4.2</v>
      </c>
      <c r="G203" s="8">
        <v>44996</v>
      </c>
      <c r="H203">
        <v>2023</v>
      </c>
      <c r="I203">
        <v>1</v>
      </c>
      <c r="J203">
        <v>3</v>
      </c>
      <c r="K203" t="s">
        <v>1048</v>
      </c>
      <c r="L203" t="s">
        <v>1046</v>
      </c>
      <c r="M203">
        <v>2023</v>
      </c>
      <c r="N203" t="s">
        <v>1074</v>
      </c>
      <c r="O203">
        <v>4</v>
      </c>
    </row>
    <row r="204" spans="1:15" x14ac:dyDescent="0.25">
      <c r="A204" t="s">
        <v>230</v>
      </c>
      <c r="B204" t="s">
        <v>14</v>
      </c>
      <c r="C204">
        <v>134</v>
      </c>
      <c r="D204" t="s">
        <v>10</v>
      </c>
      <c r="E204">
        <v>180</v>
      </c>
      <c r="F204">
        <v>3.1</v>
      </c>
      <c r="G204" s="8">
        <v>44996</v>
      </c>
      <c r="H204">
        <v>2023</v>
      </c>
      <c r="I204">
        <v>1</v>
      </c>
      <c r="J204">
        <v>3</v>
      </c>
      <c r="K204" t="s">
        <v>1048</v>
      </c>
      <c r="L204" t="s">
        <v>1046</v>
      </c>
      <c r="M204">
        <v>2023</v>
      </c>
      <c r="N204" t="s">
        <v>1075</v>
      </c>
      <c r="O204">
        <v>3</v>
      </c>
    </row>
    <row r="205" spans="1:15" x14ac:dyDescent="0.25">
      <c r="A205" t="s">
        <v>231</v>
      </c>
      <c r="B205" t="s">
        <v>8</v>
      </c>
      <c r="C205">
        <v>73</v>
      </c>
      <c r="D205" t="s">
        <v>13</v>
      </c>
      <c r="E205">
        <v>34</v>
      </c>
      <c r="F205">
        <v>4.8</v>
      </c>
      <c r="G205" s="8">
        <v>44997</v>
      </c>
      <c r="H205">
        <v>2023</v>
      </c>
      <c r="I205">
        <v>1</v>
      </c>
      <c r="J205">
        <v>3</v>
      </c>
      <c r="K205" t="s">
        <v>1048</v>
      </c>
      <c r="L205" t="s">
        <v>1040</v>
      </c>
      <c r="M205">
        <v>2023</v>
      </c>
      <c r="N205" t="s">
        <v>1074</v>
      </c>
      <c r="O205">
        <v>5</v>
      </c>
    </row>
    <row r="206" spans="1:15" x14ac:dyDescent="0.25">
      <c r="A206" t="s">
        <v>232</v>
      </c>
      <c r="B206" t="s">
        <v>5</v>
      </c>
      <c r="C206">
        <v>6</v>
      </c>
      <c r="D206" t="s">
        <v>6</v>
      </c>
      <c r="E206">
        <v>29</v>
      </c>
      <c r="F206">
        <v>4.7</v>
      </c>
      <c r="G206" s="8">
        <v>44997</v>
      </c>
      <c r="H206">
        <v>2023</v>
      </c>
      <c r="I206">
        <v>1</v>
      </c>
      <c r="J206">
        <v>3</v>
      </c>
      <c r="K206" t="s">
        <v>1048</v>
      </c>
      <c r="L206" t="s">
        <v>1040</v>
      </c>
      <c r="M206">
        <v>2023</v>
      </c>
      <c r="N206" t="s">
        <v>1078</v>
      </c>
      <c r="O206">
        <v>5</v>
      </c>
    </row>
    <row r="207" spans="1:15" x14ac:dyDescent="0.25">
      <c r="A207" t="s">
        <v>233</v>
      </c>
      <c r="B207" t="s">
        <v>16</v>
      </c>
      <c r="C207">
        <v>46</v>
      </c>
      <c r="D207" t="s">
        <v>9</v>
      </c>
      <c r="E207">
        <v>165</v>
      </c>
      <c r="F207">
        <v>3.3</v>
      </c>
      <c r="G207" s="8">
        <v>44997</v>
      </c>
      <c r="H207">
        <v>2023</v>
      </c>
      <c r="I207">
        <v>1</v>
      </c>
      <c r="J207">
        <v>3</v>
      </c>
      <c r="K207" t="s">
        <v>1048</v>
      </c>
      <c r="L207" t="s">
        <v>1040</v>
      </c>
      <c r="M207">
        <v>2023</v>
      </c>
      <c r="N207" t="s">
        <v>1076</v>
      </c>
      <c r="O207">
        <v>3</v>
      </c>
    </row>
    <row r="208" spans="1:15" x14ac:dyDescent="0.25">
      <c r="A208" t="s">
        <v>234</v>
      </c>
      <c r="B208" t="s">
        <v>5</v>
      </c>
      <c r="C208">
        <v>121</v>
      </c>
      <c r="D208" t="s">
        <v>13</v>
      </c>
      <c r="E208">
        <v>32</v>
      </c>
      <c r="F208">
        <v>3.7</v>
      </c>
      <c r="G208" s="8">
        <v>44998</v>
      </c>
      <c r="H208">
        <v>2023</v>
      </c>
      <c r="I208">
        <v>1</v>
      </c>
      <c r="J208">
        <v>3</v>
      </c>
      <c r="K208" t="s">
        <v>1048</v>
      </c>
      <c r="L208" t="s">
        <v>1041</v>
      </c>
      <c r="M208">
        <v>2023</v>
      </c>
      <c r="N208" t="s">
        <v>1075</v>
      </c>
      <c r="O208">
        <v>4</v>
      </c>
    </row>
    <row r="209" spans="1:15" x14ac:dyDescent="0.25">
      <c r="A209" t="s">
        <v>235</v>
      </c>
      <c r="B209" t="s">
        <v>17</v>
      </c>
      <c r="C209">
        <v>61</v>
      </c>
      <c r="D209" t="s">
        <v>11</v>
      </c>
      <c r="E209">
        <v>160</v>
      </c>
      <c r="F209">
        <v>4.9000000000000004</v>
      </c>
      <c r="G209" s="8">
        <v>44998</v>
      </c>
      <c r="H209">
        <v>2023</v>
      </c>
      <c r="I209">
        <v>1</v>
      </c>
      <c r="J209">
        <v>3</v>
      </c>
      <c r="K209" t="s">
        <v>1048</v>
      </c>
      <c r="L209" t="s">
        <v>1041</v>
      </c>
      <c r="M209">
        <v>2023</v>
      </c>
      <c r="N209" t="s">
        <v>1074</v>
      </c>
      <c r="O209">
        <v>5</v>
      </c>
    </row>
    <row r="210" spans="1:15" x14ac:dyDescent="0.25">
      <c r="A210" t="s">
        <v>236</v>
      </c>
      <c r="B210" t="s">
        <v>14</v>
      </c>
      <c r="C210">
        <v>144</v>
      </c>
      <c r="D210" t="s">
        <v>10</v>
      </c>
      <c r="E210">
        <v>140</v>
      </c>
      <c r="F210">
        <v>3.5</v>
      </c>
      <c r="G210" s="8">
        <v>44998</v>
      </c>
      <c r="H210">
        <v>2023</v>
      </c>
      <c r="I210">
        <v>1</v>
      </c>
      <c r="J210">
        <v>3</v>
      </c>
      <c r="K210" t="s">
        <v>1048</v>
      </c>
      <c r="L210" t="s">
        <v>1041</v>
      </c>
      <c r="M210">
        <v>2023</v>
      </c>
      <c r="N210" t="s">
        <v>1075</v>
      </c>
      <c r="O210">
        <v>4</v>
      </c>
    </row>
    <row r="211" spans="1:15" x14ac:dyDescent="0.25">
      <c r="A211" t="s">
        <v>237</v>
      </c>
      <c r="B211" t="s">
        <v>16</v>
      </c>
      <c r="C211">
        <v>145</v>
      </c>
      <c r="D211" t="s">
        <v>10</v>
      </c>
      <c r="E211">
        <v>136</v>
      </c>
      <c r="F211">
        <v>4.4000000000000004</v>
      </c>
      <c r="G211" s="8">
        <v>44998</v>
      </c>
      <c r="H211">
        <v>2023</v>
      </c>
      <c r="I211">
        <v>1</v>
      </c>
      <c r="J211">
        <v>3</v>
      </c>
      <c r="K211" t="s">
        <v>1048</v>
      </c>
      <c r="L211" t="s">
        <v>1041</v>
      </c>
      <c r="M211">
        <v>2023</v>
      </c>
      <c r="N211" t="s">
        <v>1075</v>
      </c>
      <c r="O211">
        <v>4</v>
      </c>
    </row>
    <row r="212" spans="1:15" x14ac:dyDescent="0.25">
      <c r="A212" t="s">
        <v>238</v>
      </c>
      <c r="B212" t="s">
        <v>23</v>
      </c>
      <c r="C212">
        <v>85</v>
      </c>
      <c r="D212" t="s">
        <v>6</v>
      </c>
      <c r="E212">
        <v>66</v>
      </c>
      <c r="F212">
        <v>2.8</v>
      </c>
      <c r="G212" s="8">
        <v>44998</v>
      </c>
      <c r="H212">
        <v>2023</v>
      </c>
      <c r="I212">
        <v>1</v>
      </c>
      <c r="J212">
        <v>3</v>
      </c>
      <c r="K212" t="s">
        <v>1048</v>
      </c>
      <c r="L212" t="s">
        <v>1041</v>
      </c>
      <c r="M212">
        <v>2023</v>
      </c>
      <c r="N212" t="s">
        <v>1074</v>
      </c>
      <c r="O212">
        <v>3</v>
      </c>
    </row>
    <row r="213" spans="1:15" x14ac:dyDescent="0.25">
      <c r="A213" t="s">
        <v>239</v>
      </c>
      <c r="B213" t="s">
        <v>16</v>
      </c>
      <c r="C213">
        <v>13</v>
      </c>
      <c r="D213" t="s">
        <v>11</v>
      </c>
      <c r="E213">
        <v>63</v>
      </c>
      <c r="F213">
        <v>4.0999999999999996</v>
      </c>
      <c r="G213" s="8">
        <v>44999</v>
      </c>
      <c r="H213">
        <v>2023</v>
      </c>
      <c r="I213">
        <v>1</v>
      </c>
      <c r="J213">
        <v>3</v>
      </c>
      <c r="K213" t="s">
        <v>1048</v>
      </c>
      <c r="L213" t="s">
        <v>1042</v>
      </c>
      <c r="M213">
        <v>2023</v>
      </c>
      <c r="N213" t="s">
        <v>1077</v>
      </c>
      <c r="O213">
        <v>4</v>
      </c>
    </row>
    <row r="214" spans="1:15" x14ac:dyDescent="0.25">
      <c r="A214" t="s">
        <v>240</v>
      </c>
      <c r="B214" t="s">
        <v>20</v>
      </c>
      <c r="C214">
        <v>142</v>
      </c>
      <c r="D214" t="s">
        <v>13</v>
      </c>
      <c r="E214">
        <v>44</v>
      </c>
      <c r="F214">
        <v>3.5</v>
      </c>
      <c r="G214" s="8">
        <v>44999</v>
      </c>
      <c r="H214">
        <v>2023</v>
      </c>
      <c r="I214">
        <v>1</v>
      </c>
      <c r="J214">
        <v>3</v>
      </c>
      <c r="K214" t="s">
        <v>1048</v>
      </c>
      <c r="L214" t="s">
        <v>1042</v>
      </c>
      <c r="M214">
        <v>2023</v>
      </c>
      <c r="N214" t="s">
        <v>1075</v>
      </c>
      <c r="O214">
        <v>4</v>
      </c>
    </row>
    <row r="215" spans="1:15" x14ac:dyDescent="0.25">
      <c r="A215" t="s">
        <v>241</v>
      </c>
      <c r="B215" t="s">
        <v>14</v>
      </c>
      <c r="C215">
        <v>28</v>
      </c>
      <c r="D215" t="s">
        <v>9</v>
      </c>
      <c r="E215">
        <v>78</v>
      </c>
      <c r="F215">
        <v>3.8</v>
      </c>
      <c r="G215" s="8">
        <v>44999</v>
      </c>
      <c r="H215">
        <v>2023</v>
      </c>
      <c r="I215">
        <v>1</v>
      </c>
      <c r="J215">
        <v>3</v>
      </c>
      <c r="K215" t="s">
        <v>1048</v>
      </c>
      <c r="L215" t="s">
        <v>1042</v>
      </c>
      <c r="M215">
        <v>2023</v>
      </c>
      <c r="N215" t="s">
        <v>1077</v>
      </c>
      <c r="O215">
        <v>4</v>
      </c>
    </row>
    <row r="216" spans="1:15" x14ac:dyDescent="0.25">
      <c r="A216" t="s">
        <v>242</v>
      </c>
      <c r="B216" t="s">
        <v>14</v>
      </c>
      <c r="C216">
        <v>119</v>
      </c>
      <c r="D216" t="s">
        <v>13</v>
      </c>
      <c r="E216">
        <v>20</v>
      </c>
      <c r="F216">
        <v>3.9</v>
      </c>
      <c r="G216" s="8">
        <v>44999</v>
      </c>
      <c r="H216">
        <v>2023</v>
      </c>
      <c r="I216">
        <v>1</v>
      </c>
      <c r="J216">
        <v>3</v>
      </c>
      <c r="K216" t="s">
        <v>1048</v>
      </c>
      <c r="L216" t="s">
        <v>1042</v>
      </c>
      <c r="M216">
        <v>2023</v>
      </c>
      <c r="N216" t="s">
        <v>1074</v>
      </c>
      <c r="O216">
        <v>4</v>
      </c>
    </row>
    <row r="217" spans="1:15" x14ac:dyDescent="0.25">
      <c r="A217" t="s">
        <v>243</v>
      </c>
      <c r="B217" t="s">
        <v>5</v>
      </c>
      <c r="C217">
        <v>65</v>
      </c>
      <c r="D217" t="s">
        <v>6</v>
      </c>
      <c r="E217">
        <v>84</v>
      </c>
      <c r="F217">
        <v>2.5</v>
      </c>
      <c r="G217" s="8">
        <v>44999</v>
      </c>
      <c r="H217">
        <v>2023</v>
      </c>
      <c r="I217">
        <v>1</v>
      </c>
      <c r="J217">
        <v>3</v>
      </c>
      <c r="K217" t="s">
        <v>1048</v>
      </c>
      <c r="L217" t="s">
        <v>1042</v>
      </c>
      <c r="M217">
        <v>2023</v>
      </c>
      <c r="N217" t="s">
        <v>1074</v>
      </c>
      <c r="O217">
        <v>2</v>
      </c>
    </row>
    <row r="218" spans="1:15" x14ac:dyDescent="0.25">
      <c r="A218" t="s">
        <v>244</v>
      </c>
      <c r="B218" t="s">
        <v>24</v>
      </c>
      <c r="C218">
        <v>68</v>
      </c>
      <c r="D218" t="s">
        <v>6</v>
      </c>
      <c r="E218">
        <v>32</v>
      </c>
      <c r="F218">
        <v>4.9000000000000004</v>
      </c>
      <c r="G218" s="8">
        <v>44999</v>
      </c>
      <c r="H218">
        <v>2023</v>
      </c>
      <c r="I218">
        <v>1</v>
      </c>
      <c r="J218">
        <v>3</v>
      </c>
      <c r="K218" t="s">
        <v>1048</v>
      </c>
      <c r="L218" t="s">
        <v>1042</v>
      </c>
      <c r="M218">
        <v>2023</v>
      </c>
      <c r="N218" t="s">
        <v>1074</v>
      </c>
      <c r="O218">
        <v>5</v>
      </c>
    </row>
    <row r="219" spans="1:15" x14ac:dyDescent="0.25">
      <c r="A219" t="s">
        <v>245</v>
      </c>
      <c r="B219" t="s">
        <v>22</v>
      </c>
      <c r="C219">
        <v>72</v>
      </c>
      <c r="D219" t="s">
        <v>9</v>
      </c>
      <c r="E219">
        <v>132</v>
      </c>
      <c r="F219">
        <v>3.4</v>
      </c>
      <c r="G219" s="8">
        <v>44999</v>
      </c>
      <c r="H219">
        <v>2023</v>
      </c>
      <c r="I219">
        <v>1</v>
      </c>
      <c r="J219">
        <v>3</v>
      </c>
      <c r="K219" t="s">
        <v>1048</v>
      </c>
      <c r="L219" t="s">
        <v>1042</v>
      </c>
      <c r="M219">
        <v>2023</v>
      </c>
      <c r="N219" t="s">
        <v>1074</v>
      </c>
      <c r="O219">
        <v>3</v>
      </c>
    </row>
    <row r="220" spans="1:15" x14ac:dyDescent="0.25">
      <c r="A220" t="s">
        <v>246</v>
      </c>
      <c r="B220" t="s">
        <v>22</v>
      </c>
      <c r="C220">
        <v>63</v>
      </c>
      <c r="D220" t="s">
        <v>10</v>
      </c>
      <c r="E220">
        <v>105</v>
      </c>
      <c r="F220">
        <v>3.3</v>
      </c>
      <c r="G220" s="8">
        <v>44999</v>
      </c>
      <c r="H220">
        <v>2023</v>
      </c>
      <c r="I220">
        <v>1</v>
      </c>
      <c r="J220">
        <v>3</v>
      </c>
      <c r="K220" t="s">
        <v>1048</v>
      </c>
      <c r="L220" t="s">
        <v>1042</v>
      </c>
      <c r="M220">
        <v>2023</v>
      </c>
      <c r="N220" t="s">
        <v>1074</v>
      </c>
      <c r="O220">
        <v>3</v>
      </c>
    </row>
    <row r="221" spans="1:15" x14ac:dyDescent="0.25">
      <c r="A221" t="s">
        <v>247</v>
      </c>
      <c r="B221" t="s">
        <v>12</v>
      </c>
      <c r="C221">
        <v>139</v>
      </c>
      <c r="D221" t="s">
        <v>13</v>
      </c>
      <c r="E221">
        <v>48</v>
      </c>
      <c r="F221">
        <v>4.7</v>
      </c>
      <c r="G221" s="8">
        <v>45000</v>
      </c>
      <c r="H221">
        <v>2023</v>
      </c>
      <c r="I221">
        <v>1</v>
      </c>
      <c r="J221">
        <v>3</v>
      </c>
      <c r="K221" t="s">
        <v>1048</v>
      </c>
      <c r="L221" t="s">
        <v>1043</v>
      </c>
      <c r="M221">
        <v>2023</v>
      </c>
      <c r="N221" t="s">
        <v>1075</v>
      </c>
      <c r="O221">
        <v>5</v>
      </c>
    </row>
    <row r="222" spans="1:15" x14ac:dyDescent="0.25">
      <c r="A222" t="s">
        <v>248</v>
      </c>
      <c r="B222" t="s">
        <v>14</v>
      </c>
      <c r="C222">
        <v>59</v>
      </c>
      <c r="D222" t="s">
        <v>13</v>
      </c>
      <c r="E222">
        <v>64</v>
      </c>
      <c r="F222">
        <v>4</v>
      </c>
      <c r="G222" s="8">
        <v>45000</v>
      </c>
      <c r="H222">
        <v>2023</v>
      </c>
      <c r="I222">
        <v>1</v>
      </c>
      <c r="J222">
        <v>3</v>
      </c>
      <c r="K222" t="s">
        <v>1048</v>
      </c>
      <c r="L222" t="s">
        <v>1043</v>
      </c>
      <c r="M222">
        <v>2023</v>
      </c>
      <c r="N222" t="s">
        <v>1076</v>
      </c>
      <c r="O222">
        <v>4</v>
      </c>
    </row>
    <row r="223" spans="1:15" x14ac:dyDescent="0.25">
      <c r="A223" t="s">
        <v>249</v>
      </c>
      <c r="B223" t="s">
        <v>7</v>
      </c>
      <c r="C223">
        <v>138</v>
      </c>
      <c r="D223" t="s">
        <v>10</v>
      </c>
      <c r="E223">
        <v>44</v>
      </c>
      <c r="F223">
        <v>3.8</v>
      </c>
      <c r="G223" s="8">
        <v>45000</v>
      </c>
      <c r="H223">
        <v>2023</v>
      </c>
      <c r="I223">
        <v>1</v>
      </c>
      <c r="J223">
        <v>3</v>
      </c>
      <c r="K223" t="s">
        <v>1048</v>
      </c>
      <c r="L223" t="s">
        <v>1043</v>
      </c>
      <c r="M223">
        <v>2023</v>
      </c>
      <c r="N223" t="s">
        <v>1075</v>
      </c>
      <c r="O223">
        <v>4</v>
      </c>
    </row>
    <row r="224" spans="1:15" x14ac:dyDescent="0.25">
      <c r="A224" t="s">
        <v>250</v>
      </c>
      <c r="B224" t="s">
        <v>12</v>
      </c>
      <c r="C224">
        <v>47</v>
      </c>
      <c r="D224" t="s">
        <v>9</v>
      </c>
      <c r="E224">
        <v>120</v>
      </c>
      <c r="F224">
        <v>3.1</v>
      </c>
      <c r="G224" s="8">
        <v>45000</v>
      </c>
      <c r="H224">
        <v>2023</v>
      </c>
      <c r="I224">
        <v>1</v>
      </c>
      <c r="J224">
        <v>3</v>
      </c>
      <c r="K224" t="s">
        <v>1048</v>
      </c>
      <c r="L224" t="s">
        <v>1043</v>
      </c>
      <c r="M224">
        <v>2023</v>
      </c>
      <c r="N224" t="s">
        <v>1076</v>
      </c>
      <c r="O224">
        <v>3</v>
      </c>
    </row>
    <row r="225" spans="1:15" x14ac:dyDescent="0.25">
      <c r="A225" t="s">
        <v>251</v>
      </c>
      <c r="B225" t="s">
        <v>7</v>
      </c>
      <c r="C225">
        <v>74</v>
      </c>
      <c r="D225" t="s">
        <v>9</v>
      </c>
      <c r="E225">
        <v>144</v>
      </c>
      <c r="F225">
        <v>4.8</v>
      </c>
      <c r="G225" s="8">
        <v>45000</v>
      </c>
      <c r="H225">
        <v>2023</v>
      </c>
      <c r="I225">
        <v>1</v>
      </c>
      <c r="J225">
        <v>3</v>
      </c>
      <c r="K225" t="s">
        <v>1048</v>
      </c>
      <c r="L225" t="s">
        <v>1043</v>
      </c>
      <c r="M225">
        <v>2023</v>
      </c>
      <c r="N225" t="s">
        <v>1074</v>
      </c>
      <c r="O225">
        <v>5</v>
      </c>
    </row>
    <row r="226" spans="1:15" x14ac:dyDescent="0.25">
      <c r="A226" t="s">
        <v>252</v>
      </c>
      <c r="B226" t="s">
        <v>22</v>
      </c>
      <c r="C226">
        <v>65</v>
      </c>
      <c r="D226" t="s">
        <v>9</v>
      </c>
      <c r="E226">
        <v>87</v>
      </c>
      <c r="F226">
        <v>2.7</v>
      </c>
      <c r="G226" s="8">
        <v>45000</v>
      </c>
      <c r="H226">
        <v>2023</v>
      </c>
      <c r="I226">
        <v>1</v>
      </c>
      <c r="J226">
        <v>3</v>
      </c>
      <c r="K226" t="s">
        <v>1048</v>
      </c>
      <c r="L226" t="s">
        <v>1043</v>
      </c>
      <c r="M226">
        <v>2023</v>
      </c>
      <c r="N226" t="s">
        <v>1074</v>
      </c>
      <c r="O226">
        <v>3</v>
      </c>
    </row>
    <row r="227" spans="1:15" x14ac:dyDescent="0.25">
      <c r="A227" t="s">
        <v>253</v>
      </c>
      <c r="B227" t="s">
        <v>8</v>
      </c>
      <c r="C227">
        <v>123</v>
      </c>
      <c r="D227" t="s">
        <v>6</v>
      </c>
      <c r="E227">
        <v>36</v>
      </c>
      <c r="F227">
        <v>3.6</v>
      </c>
      <c r="G227" s="8">
        <v>45000</v>
      </c>
      <c r="H227">
        <v>2023</v>
      </c>
      <c r="I227">
        <v>1</v>
      </c>
      <c r="J227">
        <v>3</v>
      </c>
      <c r="K227" t="s">
        <v>1048</v>
      </c>
      <c r="L227" t="s">
        <v>1043</v>
      </c>
      <c r="M227">
        <v>2023</v>
      </c>
      <c r="N227" t="s">
        <v>1075</v>
      </c>
      <c r="O227">
        <v>4</v>
      </c>
    </row>
    <row r="228" spans="1:15" x14ac:dyDescent="0.25">
      <c r="A228" t="s">
        <v>254</v>
      </c>
      <c r="B228" t="s">
        <v>22</v>
      </c>
      <c r="C228">
        <v>90</v>
      </c>
      <c r="D228" t="s">
        <v>13</v>
      </c>
      <c r="E228">
        <v>72</v>
      </c>
      <c r="F228">
        <v>4.7</v>
      </c>
      <c r="G228" s="8">
        <v>45001</v>
      </c>
      <c r="H228">
        <v>2023</v>
      </c>
      <c r="I228">
        <v>1</v>
      </c>
      <c r="J228">
        <v>3</v>
      </c>
      <c r="K228" t="s">
        <v>1048</v>
      </c>
      <c r="L228" t="s">
        <v>1044</v>
      </c>
      <c r="M228">
        <v>2023</v>
      </c>
      <c r="N228" t="s">
        <v>1074</v>
      </c>
      <c r="O228">
        <v>5</v>
      </c>
    </row>
    <row r="229" spans="1:15" x14ac:dyDescent="0.25">
      <c r="A229" t="s">
        <v>255</v>
      </c>
      <c r="B229" t="s">
        <v>17</v>
      </c>
      <c r="C229">
        <v>127</v>
      </c>
      <c r="D229" t="s">
        <v>10</v>
      </c>
      <c r="E229">
        <v>150</v>
      </c>
      <c r="F229">
        <v>4.4000000000000004</v>
      </c>
      <c r="G229" s="8">
        <v>45001</v>
      </c>
      <c r="H229">
        <v>2023</v>
      </c>
      <c r="I229">
        <v>1</v>
      </c>
      <c r="J229">
        <v>3</v>
      </c>
      <c r="K229" t="s">
        <v>1048</v>
      </c>
      <c r="L229" t="s">
        <v>1044</v>
      </c>
      <c r="M229">
        <v>2023</v>
      </c>
      <c r="N229" t="s">
        <v>1075</v>
      </c>
      <c r="O229">
        <v>4</v>
      </c>
    </row>
    <row r="230" spans="1:15" x14ac:dyDescent="0.25">
      <c r="A230" t="s">
        <v>256</v>
      </c>
      <c r="B230" t="s">
        <v>21</v>
      </c>
      <c r="C230">
        <v>60</v>
      </c>
      <c r="D230" t="s">
        <v>9</v>
      </c>
      <c r="E230">
        <v>68</v>
      </c>
      <c r="F230">
        <v>4.3</v>
      </c>
      <c r="G230" s="8">
        <v>45001</v>
      </c>
      <c r="H230">
        <v>2023</v>
      </c>
      <c r="I230">
        <v>1</v>
      </c>
      <c r="J230">
        <v>3</v>
      </c>
      <c r="K230" t="s">
        <v>1048</v>
      </c>
      <c r="L230" t="s">
        <v>1044</v>
      </c>
      <c r="M230">
        <v>2023</v>
      </c>
      <c r="N230" t="s">
        <v>1076</v>
      </c>
      <c r="O230">
        <v>4</v>
      </c>
    </row>
    <row r="231" spans="1:15" x14ac:dyDescent="0.25">
      <c r="A231" t="s">
        <v>257</v>
      </c>
      <c r="B231" t="s">
        <v>12</v>
      </c>
      <c r="C231">
        <v>94</v>
      </c>
      <c r="D231" t="s">
        <v>10</v>
      </c>
      <c r="E231">
        <v>99</v>
      </c>
      <c r="F231">
        <v>4.9000000000000004</v>
      </c>
      <c r="G231" s="8">
        <v>45001</v>
      </c>
      <c r="H231">
        <v>2023</v>
      </c>
      <c r="I231">
        <v>1</v>
      </c>
      <c r="J231">
        <v>3</v>
      </c>
      <c r="K231" t="s">
        <v>1048</v>
      </c>
      <c r="L231" t="s">
        <v>1044</v>
      </c>
      <c r="M231">
        <v>2023</v>
      </c>
      <c r="N231" t="s">
        <v>1074</v>
      </c>
      <c r="O231">
        <v>5</v>
      </c>
    </row>
    <row r="232" spans="1:15" x14ac:dyDescent="0.25">
      <c r="A232" t="s">
        <v>258</v>
      </c>
      <c r="B232" t="s">
        <v>8</v>
      </c>
      <c r="C232">
        <v>54</v>
      </c>
      <c r="D232" t="s">
        <v>9</v>
      </c>
      <c r="E232">
        <v>26</v>
      </c>
      <c r="F232">
        <v>4.8</v>
      </c>
      <c r="G232" s="8">
        <v>45001</v>
      </c>
      <c r="H232">
        <v>2023</v>
      </c>
      <c r="I232">
        <v>1</v>
      </c>
      <c r="J232">
        <v>3</v>
      </c>
      <c r="K232" t="s">
        <v>1048</v>
      </c>
      <c r="L232" t="s">
        <v>1044</v>
      </c>
      <c r="M232">
        <v>2023</v>
      </c>
      <c r="N232" t="s">
        <v>1076</v>
      </c>
      <c r="O232">
        <v>5</v>
      </c>
    </row>
    <row r="233" spans="1:15" x14ac:dyDescent="0.25">
      <c r="A233" t="s">
        <v>259</v>
      </c>
      <c r="B233" t="s">
        <v>22</v>
      </c>
      <c r="C233">
        <v>104</v>
      </c>
      <c r="D233" t="s">
        <v>9</v>
      </c>
      <c r="E233">
        <v>88</v>
      </c>
      <c r="F233">
        <v>3.2</v>
      </c>
      <c r="G233" s="8">
        <v>45001</v>
      </c>
      <c r="H233">
        <v>2023</v>
      </c>
      <c r="I233">
        <v>1</v>
      </c>
      <c r="J233">
        <v>3</v>
      </c>
      <c r="K233" t="s">
        <v>1048</v>
      </c>
      <c r="L233" t="s">
        <v>1044</v>
      </c>
      <c r="M233">
        <v>2023</v>
      </c>
      <c r="N233" t="s">
        <v>1074</v>
      </c>
      <c r="O233">
        <v>3</v>
      </c>
    </row>
    <row r="234" spans="1:15" x14ac:dyDescent="0.25">
      <c r="A234" t="s">
        <v>260</v>
      </c>
      <c r="B234" t="s">
        <v>15</v>
      </c>
      <c r="C234">
        <v>100</v>
      </c>
      <c r="D234" t="s">
        <v>9</v>
      </c>
      <c r="E234">
        <v>124</v>
      </c>
      <c r="F234">
        <v>3.4</v>
      </c>
      <c r="G234" s="8">
        <v>45001</v>
      </c>
      <c r="H234">
        <v>2023</v>
      </c>
      <c r="I234">
        <v>1</v>
      </c>
      <c r="J234">
        <v>3</v>
      </c>
      <c r="K234" t="s">
        <v>1048</v>
      </c>
      <c r="L234" t="s">
        <v>1044</v>
      </c>
      <c r="M234">
        <v>2023</v>
      </c>
      <c r="N234" t="s">
        <v>1074</v>
      </c>
      <c r="O234">
        <v>3</v>
      </c>
    </row>
    <row r="235" spans="1:15" x14ac:dyDescent="0.25">
      <c r="A235" t="s">
        <v>261</v>
      </c>
      <c r="B235" t="s">
        <v>7</v>
      </c>
      <c r="C235">
        <v>84</v>
      </c>
      <c r="D235" t="s">
        <v>9</v>
      </c>
      <c r="E235">
        <v>72</v>
      </c>
      <c r="F235">
        <v>3.5</v>
      </c>
      <c r="G235" s="8">
        <v>45001</v>
      </c>
      <c r="H235">
        <v>2023</v>
      </c>
      <c r="I235">
        <v>1</v>
      </c>
      <c r="J235">
        <v>3</v>
      </c>
      <c r="K235" t="s">
        <v>1048</v>
      </c>
      <c r="L235" t="s">
        <v>1044</v>
      </c>
      <c r="M235">
        <v>2023</v>
      </c>
      <c r="N235" t="s">
        <v>1074</v>
      </c>
      <c r="O235">
        <v>4</v>
      </c>
    </row>
    <row r="236" spans="1:15" x14ac:dyDescent="0.25">
      <c r="A236" t="s">
        <v>262</v>
      </c>
      <c r="B236" t="s">
        <v>20</v>
      </c>
      <c r="C236">
        <v>92</v>
      </c>
      <c r="D236" t="s">
        <v>11</v>
      </c>
      <c r="E236">
        <v>125</v>
      </c>
      <c r="F236">
        <v>4.9000000000000004</v>
      </c>
      <c r="G236" s="8">
        <v>45002</v>
      </c>
      <c r="H236">
        <v>2023</v>
      </c>
      <c r="I236">
        <v>1</v>
      </c>
      <c r="J236">
        <v>3</v>
      </c>
      <c r="K236" t="s">
        <v>1048</v>
      </c>
      <c r="L236" t="s">
        <v>1045</v>
      </c>
      <c r="M236">
        <v>2023</v>
      </c>
      <c r="N236" t="s">
        <v>1074</v>
      </c>
      <c r="O236">
        <v>5</v>
      </c>
    </row>
    <row r="237" spans="1:15" x14ac:dyDescent="0.25">
      <c r="A237" t="s">
        <v>263</v>
      </c>
      <c r="B237" t="s">
        <v>18</v>
      </c>
      <c r="C237">
        <v>64</v>
      </c>
      <c r="D237" t="s">
        <v>10</v>
      </c>
      <c r="E237">
        <v>22</v>
      </c>
      <c r="F237">
        <v>4.0999999999999996</v>
      </c>
      <c r="G237" s="8">
        <v>45002</v>
      </c>
      <c r="H237">
        <v>2023</v>
      </c>
      <c r="I237">
        <v>1</v>
      </c>
      <c r="J237">
        <v>3</v>
      </c>
      <c r="K237" t="s">
        <v>1048</v>
      </c>
      <c r="L237" t="s">
        <v>1045</v>
      </c>
      <c r="M237">
        <v>2023</v>
      </c>
      <c r="N237" t="s">
        <v>1074</v>
      </c>
      <c r="O237">
        <v>4</v>
      </c>
    </row>
    <row r="238" spans="1:15" x14ac:dyDescent="0.25">
      <c r="A238" t="s">
        <v>264</v>
      </c>
      <c r="B238" t="s">
        <v>23</v>
      </c>
      <c r="C238">
        <v>89</v>
      </c>
      <c r="D238" t="s">
        <v>13</v>
      </c>
      <c r="E238">
        <v>70</v>
      </c>
      <c r="F238">
        <v>4.9000000000000004</v>
      </c>
      <c r="G238" s="8">
        <v>45003</v>
      </c>
      <c r="H238">
        <v>2023</v>
      </c>
      <c r="I238">
        <v>1</v>
      </c>
      <c r="J238">
        <v>3</v>
      </c>
      <c r="K238" t="s">
        <v>1048</v>
      </c>
      <c r="L238" t="s">
        <v>1046</v>
      </c>
      <c r="M238">
        <v>2023</v>
      </c>
      <c r="N238" t="s">
        <v>1074</v>
      </c>
      <c r="O238">
        <v>5</v>
      </c>
    </row>
    <row r="239" spans="1:15" x14ac:dyDescent="0.25">
      <c r="A239" t="s">
        <v>265</v>
      </c>
      <c r="B239" t="s">
        <v>19</v>
      </c>
      <c r="C239">
        <v>40</v>
      </c>
      <c r="D239" t="s">
        <v>9</v>
      </c>
      <c r="E239">
        <v>24</v>
      </c>
      <c r="F239">
        <v>4.3</v>
      </c>
      <c r="G239" s="8">
        <v>45003</v>
      </c>
      <c r="H239">
        <v>2023</v>
      </c>
      <c r="I239">
        <v>1</v>
      </c>
      <c r="J239">
        <v>3</v>
      </c>
      <c r="K239" t="s">
        <v>1048</v>
      </c>
      <c r="L239" t="s">
        <v>1046</v>
      </c>
      <c r="M239">
        <v>2023</v>
      </c>
      <c r="N239" t="s">
        <v>1076</v>
      </c>
      <c r="O239">
        <v>4</v>
      </c>
    </row>
    <row r="240" spans="1:15" x14ac:dyDescent="0.25">
      <c r="A240" t="s">
        <v>266</v>
      </c>
      <c r="B240" t="s">
        <v>14</v>
      </c>
      <c r="C240">
        <v>75</v>
      </c>
      <c r="D240" t="s">
        <v>6</v>
      </c>
      <c r="E240">
        <v>32</v>
      </c>
      <c r="F240">
        <v>4.0999999999999996</v>
      </c>
      <c r="G240" s="8">
        <v>45003</v>
      </c>
      <c r="H240">
        <v>2023</v>
      </c>
      <c r="I240">
        <v>1</v>
      </c>
      <c r="J240">
        <v>3</v>
      </c>
      <c r="K240" t="s">
        <v>1048</v>
      </c>
      <c r="L240" t="s">
        <v>1046</v>
      </c>
      <c r="M240">
        <v>2023</v>
      </c>
      <c r="N240" t="s">
        <v>1074</v>
      </c>
      <c r="O240">
        <v>4</v>
      </c>
    </row>
    <row r="241" spans="1:15" x14ac:dyDescent="0.25">
      <c r="A241" t="s">
        <v>267</v>
      </c>
      <c r="B241" t="s">
        <v>17</v>
      </c>
      <c r="C241">
        <v>106</v>
      </c>
      <c r="D241" t="s">
        <v>11</v>
      </c>
      <c r="E241">
        <v>112</v>
      </c>
      <c r="F241">
        <v>4.4000000000000004</v>
      </c>
      <c r="G241" s="8">
        <v>45003</v>
      </c>
      <c r="H241">
        <v>2023</v>
      </c>
      <c r="I241">
        <v>1</v>
      </c>
      <c r="J241">
        <v>3</v>
      </c>
      <c r="K241" t="s">
        <v>1048</v>
      </c>
      <c r="L241" t="s">
        <v>1046</v>
      </c>
      <c r="M241">
        <v>2023</v>
      </c>
      <c r="N241" t="s">
        <v>1074</v>
      </c>
      <c r="O241">
        <v>4</v>
      </c>
    </row>
    <row r="242" spans="1:15" x14ac:dyDescent="0.25">
      <c r="A242" t="s">
        <v>268</v>
      </c>
      <c r="B242" t="s">
        <v>18</v>
      </c>
      <c r="C242">
        <v>58</v>
      </c>
      <c r="D242" t="s">
        <v>9</v>
      </c>
      <c r="E242">
        <v>43</v>
      </c>
      <c r="F242">
        <v>4.5</v>
      </c>
      <c r="G242" s="8">
        <v>45004</v>
      </c>
      <c r="H242">
        <v>2023</v>
      </c>
      <c r="I242">
        <v>1</v>
      </c>
      <c r="J242">
        <v>3</v>
      </c>
      <c r="K242" t="s">
        <v>1048</v>
      </c>
      <c r="L242" t="s">
        <v>1040</v>
      </c>
      <c r="M242">
        <v>2023</v>
      </c>
      <c r="N242" t="s">
        <v>1076</v>
      </c>
      <c r="O242">
        <v>4</v>
      </c>
    </row>
    <row r="243" spans="1:15" x14ac:dyDescent="0.25">
      <c r="A243" t="s">
        <v>269</v>
      </c>
      <c r="B243" t="s">
        <v>7</v>
      </c>
      <c r="C243">
        <v>84</v>
      </c>
      <c r="D243" t="s">
        <v>11</v>
      </c>
      <c r="E243">
        <v>22</v>
      </c>
      <c r="F243">
        <v>3.5</v>
      </c>
      <c r="G243" s="8">
        <v>45004</v>
      </c>
      <c r="H243">
        <v>2023</v>
      </c>
      <c r="I243">
        <v>1</v>
      </c>
      <c r="J243">
        <v>3</v>
      </c>
      <c r="K243" t="s">
        <v>1048</v>
      </c>
      <c r="L243" t="s">
        <v>1040</v>
      </c>
      <c r="M243">
        <v>2023</v>
      </c>
      <c r="N243" t="s">
        <v>1074</v>
      </c>
      <c r="O243">
        <v>4</v>
      </c>
    </row>
    <row r="244" spans="1:15" x14ac:dyDescent="0.25">
      <c r="A244" t="s">
        <v>270</v>
      </c>
      <c r="B244" t="s">
        <v>22</v>
      </c>
      <c r="C244">
        <v>140</v>
      </c>
      <c r="D244" t="s">
        <v>11</v>
      </c>
      <c r="E244">
        <v>93</v>
      </c>
      <c r="F244">
        <v>4.4000000000000004</v>
      </c>
      <c r="G244" s="8">
        <v>45004</v>
      </c>
      <c r="H244">
        <v>2023</v>
      </c>
      <c r="I244">
        <v>1</v>
      </c>
      <c r="J244">
        <v>3</v>
      </c>
      <c r="K244" t="s">
        <v>1048</v>
      </c>
      <c r="L244" t="s">
        <v>1040</v>
      </c>
      <c r="M244">
        <v>2023</v>
      </c>
      <c r="N244" t="s">
        <v>1075</v>
      </c>
      <c r="O244">
        <v>4</v>
      </c>
    </row>
    <row r="245" spans="1:15" x14ac:dyDescent="0.25">
      <c r="A245" t="s">
        <v>271</v>
      </c>
      <c r="B245" t="s">
        <v>18</v>
      </c>
      <c r="C245">
        <v>67</v>
      </c>
      <c r="D245" t="s">
        <v>11</v>
      </c>
      <c r="E245">
        <v>45</v>
      </c>
      <c r="F245">
        <v>3.5</v>
      </c>
      <c r="G245" s="8">
        <v>45004</v>
      </c>
      <c r="H245">
        <v>2023</v>
      </c>
      <c r="I245">
        <v>1</v>
      </c>
      <c r="J245">
        <v>3</v>
      </c>
      <c r="K245" t="s">
        <v>1048</v>
      </c>
      <c r="L245" t="s">
        <v>1040</v>
      </c>
      <c r="M245">
        <v>2023</v>
      </c>
      <c r="N245" t="s">
        <v>1074</v>
      </c>
      <c r="O245">
        <v>4</v>
      </c>
    </row>
    <row r="246" spans="1:15" x14ac:dyDescent="0.25">
      <c r="A246" t="s">
        <v>272</v>
      </c>
      <c r="B246" t="s">
        <v>12</v>
      </c>
      <c r="C246">
        <v>126</v>
      </c>
      <c r="D246" t="s">
        <v>11</v>
      </c>
      <c r="E246">
        <v>96</v>
      </c>
      <c r="F246">
        <v>3.8</v>
      </c>
      <c r="G246" s="8">
        <v>45005</v>
      </c>
      <c r="H246">
        <v>2023</v>
      </c>
      <c r="I246">
        <v>1</v>
      </c>
      <c r="J246">
        <v>3</v>
      </c>
      <c r="K246" t="s">
        <v>1048</v>
      </c>
      <c r="L246" t="s">
        <v>1041</v>
      </c>
      <c r="M246">
        <v>2023</v>
      </c>
      <c r="N246" t="s">
        <v>1075</v>
      </c>
      <c r="O246">
        <v>4</v>
      </c>
    </row>
    <row r="247" spans="1:15" x14ac:dyDescent="0.25">
      <c r="A247" t="s">
        <v>273</v>
      </c>
      <c r="B247" t="s">
        <v>12</v>
      </c>
      <c r="C247">
        <v>89</v>
      </c>
      <c r="D247" t="s">
        <v>9</v>
      </c>
      <c r="E247">
        <v>96</v>
      </c>
      <c r="F247">
        <v>3.3</v>
      </c>
      <c r="G247" s="8">
        <v>45005</v>
      </c>
      <c r="H247">
        <v>2023</v>
      </c>
      <c r="I247">
        <v>1</v>
      </c>
      <c r="J247">
        <v>3</v>
      </c>
      <c r="K247" t="s">
        <v>1048</v>
      </c>
      <c r="L247" t="s">
        <v>1041</v>
      </c>
      <c r="M247">
        <v>2023</v>
      </c>
      <c r="N247" t="s">
        <v>1074</v>
      </c>
      <c r="O247">
        <v>3</v>
      </c>
    </row>
    <row r="248" spans="1:15" x14ac:dyDescent="0.25">
      <c r="A248" t="s">
        <v>274</v>
      </c>
      <c r="B248" t="s">
        <v>23</v>
      </c>
      <c r="C248">
        <v>56</v>
      </c>
      <c r="D248" t="s">
        <v>10</v>
      </c>
      <c r="E248">
        <v>31</v>
      </c>
      <c r="F248">
        <v>4.4000000000000004</v>
      </c>
      <c r="G248" s="8">
        <v>45005</v>
      </c>
      <c r="H248">
        <v>2023</v>
      </c>
      <c r="I248">
        <v>1</v>
      </c>
      <c r="J248">
        <v>3</v>
      </c>
      <c r="K248" t="s">
        <v>1048</v>
      </c>
      <c r="L248" t="s">
        <v>1041</v>
      </c>
      <c r="M248">
        <v>2023</v>
      </c>
      <c r="N248" t="s">
        <v>1076</v>
      </c>
      <c r="O248">
        <v>4</v>
      </c>
    </row>
    <row r="249" spans="1:15" x14ac:dyDescent="0.25">
      <c r="A249" t="s">
        <v>275</v>
      </c>
      <c r="B249" t="s">
        <v>8</v>
      </c>
      <c r="C249">
        <v>48</v>
      </c>
      <c r="D249" t="s">
        <v>9</v>
      </c>
      <c r="E249">
        <v>200</v>
      </c>
      <c r="F249">
        <v>3.9</v>
      </c>
      <c r="G249" s="8">
        <v>45005</v>
      </c>
      <c r="H249">
        <v>2023</v>
      </c>
      <c r="I249">
        <v>1</v>
      </c>
      <c r="J249">
        <v>3</v>
      </c>
      <c r="K249" t="s">
        <v>1048</v>
      </c>
      <c r="L249" t="s">
        <v>1041</v>
      </c>
      <c r="M249">
        <v>2023</v>
      </c>
      <c r="N249" t="s">
        <v>1076</v>
      </c>
      <c r="O249">
        <v>4</v>
      </c>
    </row>
    <row r="250" spans="1:15" x14ac:dyDescent="0.25">
      <c r="A250" t="s">
        <v>276</v>
      </c>
      <c r="B250" t="s">
        <v>12</v>
      </c>
      <c r="C250">
        <v>55</v>
      </c>
      <c r="D250" t="s">
        <v>10</v>
      </c>
      <c r="E250">
        <v>99</v>
      </c>
      <c r="F250">
        <v>2.7</v>
      </c>
      <c r="G250" s="8">
        <v>45005</v>
      </c>
      <c r="H250">
        <v>2023</v>
      </c>
      <c r="I250">
        <v>1</v>
      </c>
      <c r="J250">
        <v>3</v>
      </c>
      <c r="K250" t="s">
        <v>1048</v>
      </c>
      <c r="L250" t="s">
        <v>1041</v>
      </c>
      <c r="M250">
        <v>2023</v>
      </c>
      <c r="N250" t="s">
        <v>1076</v>
      </c>
      <c r="O250">
        <v>3</v>
      </c>
    </row>
    <row r="251" spans="1:15" x14ac:dyDescent="0.25">
      <c r="A251" t="s">
        <v>277</v>
      </c>
      <c r="B251" t="s">
        <v>21</v>
      </c>
      <c r="C251">
        <v>88</v>
      </c>
      <c r="D251" t="s">
        <v>6</v>
      </c>
      <c r="E251">
        <v>144</v>
      </c>
      <c r="F251">
        <v>2.9</v>
      </c>
      <c r="G251" s="8">
        <v>45005</v>
      </c>
      <c r="H251">
        <v>2023</v>
      </c>
      <c r="I251">
        <v>1</v>
      </c>
      <c r="J251">
        <v>3</v>
      </c>
      <c r="K251" t="s">
        <v>1048</v>
      </c>
      <c r="L251" t="s">
        <v>1041</v>
      </c>
      <c r="M251">
        <v>2023</v>
      </c>
      <c r="N251" t="s">
        <v>1074</v>
      </c>
      <c r="O251">
        <v>3</v>
      </c>
    </row>
    <row r="252" spans="1:15" x14ac:dyDescent="0.25">
      <c r="A252" t="s">
        <v>278</v>
      </c>
      <c r="B252" t="s">
        <v>23</v>
      </c>
      <c r="C252">
        <v>102</v>
      </c>
      <c r="D252" t="s">
        <v>11</v>
      </c>
      <c r="E252">
        <v>81</v>
      </c>
      <c r="F252">
        <v>4</v>
      </c>
      <c r="G252" s="8">
        <v>45006</v>
      </c>
      <c r="H252">
        <v>2023</v>
      </c>
      <c r="I252">
        <v>1</v>
      </c>
      <c r="J252">
        <v>3</v>
      </c>
      <c r="K252" t="s">
        <v>1048</v>
      </c>
      <c r="L252" t="s">
        <v>1042</v>
      </c>
      <c r="M252">
        <v>2023</v>
      </c>
      <c r="N252" t="s">
        <v>1074</v>
      </c>
      <c r="O252">
        <v>4</v>
      </c>
    </row>
    <row r="253" spans="1:15" x14ac:dyDescent="0.25">
      <c r="A253" t="s">
        <v>279</v>
      </c>
      <c r="B253" t="s">
        <v>21</v>
      </c>
      <c r="C253">
        <v>155</v>
      </c>
      <c r="D253" t="s">
        <v>6</v>
      </c>
      <c r="E253">
        <v>70</v>
      </c>
      <c r="F253">
        <v>4.4000000000000004</v>
      </c>
      <c r="G253" s="8">
        <v>45006</v>
      </c>
      <c r="H253">
        <v>2023</v>
      </c>
      <c r="I253">
        <v>1</v>
      </c>
      <c r="J253">
        <v>3</v>
      </c>
      <c r="K253" t="s">
        <v>1048</v>
      </c>
      <c r="L253" t="s">
        <v>1042</v>
      </c>
      <c r="M253">
        <v>2023</v>
      </c>
      <c r="N253" t="s">
        <v>1075</v>
      </c>
      <c r="O253">
        <v>4</v>
      </c>
    </row>
    <row r="254" spans="1:15" x14ac:dyDescent="0.25">
      <c r="A254" t="s">
        <v>280</v>
      </c>
      <c r="B254" t="s">
        <v>12</v>
      </c>
      <c r="C254">
        <v>63</v>
      </c>
      <c r="D254" t="s">
        <v>6</v>
      </c>
      <c r="E254">
        <v>148</v>
      </c>
      <c r="F254">
        <v>5</v>
      </c>
      <c r="G254" s="8">
        <v>45006</v>
      </c>
      <c r="H254">
        <v>2023</v>
      </c>
      <c r="I254">
        <v>1</v>
      </c>
      <c r="J254">
        <v>3</v>
      </c>
      <c r="K254" t="s">
        <v>1048</v>
      </c>
      <c r="L254" t="s">
        <v>1042</v>
      </c>
      <c r="M254">
        <v>2023</v>
      </c>
      <c r="N254" t="s">
        <v>1074</v>
      </c>
      <c r="O254">
        <v>5</v>
      </c>
    </row>
    <row r="255" spans="1:15" x14ac:dyDescent="0.25">
      <c r="A255" t="s">
        <v>281</v>
      </c>
      <c r="B255" t="s">
        <v>15</v>
      </c>
      <c r="C255">
        <v>59</v>
      </c>
      <c r="D255" t="s">
        <v>11</v>
      </c>
      <c r="E255">
        <v>215</v>
      </c>
      <c r="F255">
        <v>4.0999999999999996</v>
      </c>
      <c r="G255" s="8">
        <v>45006</v>
      </c>
      <c r="H255">
        <v>2023</v>
      </c>
      <c r="I255">
        <v>1</v>
      </c>
      <c r="J255">
        <v>3</v>
      </c>
      <c r="K255" t="s">
        <v>1048</v>
      </c>
      <c r="L255" t="s">
        <v>1042</v>
      </c>
      <c r="M255">
        <v>2023</v>
      </c>
      <c r="N255" t="s">
        <v>1076</v>
      </c>
      <c r="O255">
        <v>4</v>
      </c>
    </row>
    <row r="256" spans="1:15" x14ac:dyDescent="0.25">
      <c r="A256" t="s">
        <v>282</v>
      </c>
      <c r="B256" t="s">
        <v>15</v>
      </c>
      <c r="C256">
        <v>144</v>
      </c>
      <c r="D256" t="s">
        <v>9</v>
      </c>
      <c r="E256">
        <v>124</v>
      </c>
      <c r="F256">
        <v>4.4000000000000004</v>
      </c>
      <c r="G256" s="8">
        <v>45006</v>
      </c>
      <c r="H256">
        <v>2023</v>
      </c>
      <c r="I256">
        <v>1</v>
      </c>
      <c r="J256">
        <v>3</v>
      </c>
      <c r="K256" t="s">
        <v>1048</v>
      </c>
      <c r="L256" t="s">
        <v>1042</v>
      </c>
      <c r="M256">
        <v>2023</v>
      </c>
      <c r="N256" t="s">
        <v>1075</v>
      </c>
      <c r="O256">
        <v>4</v>
      </c>
    </row>
    <row r="257" spans="1:15" x14ac:dyDescent="0.25">
      <c r="A257" t="s">
        <v>283</v>
      </c>
      <c r="B257" t="s">
        <v>7</v>
      </c>
      <c r="C257">
        <v>113</v>
      </c>
      <c r="D257" t="s">
        <v>13</v>
      </c>
      <c r="E257">
        <v>168</v>
      </c>
      <c r="F257">
        <v>4.0999999999999996</v>
      </c>
      <c r="G257" s="8">
        <v>45006</v>
      </c>
      <c r="H257">
        <v>2023</v>
      </c>
      <c r="I257">
        <v>1</v>
      </c>
      <c r="J257">
        <v>3</v>
      </c>
      <c r="K257" t="s">
        <v>1048</v>
      </c>
      <c r="L257" t="s">
        <v>1042</v>
      </c>
      <c r="M257">
        <v>2023</v>
      </c>
      <c r="N257" t="s">
        <v>1074</v>
      </c>
      <c r="O257">
        <v>4</v>
      </c>
    </row>
    <row r="258" spans="1:15" x14ac:dyDescent="0.25">
      <c r="A258" t="s">
        <v>284</v>
      </c>
      <c r="B258" t="s">
        <v>16</v>
      </c>
      <c r="C258">
        <v>154</v>
      </c>
      <c r="D258" t="s">
        <v>10</v>
      </c>
      <c r="E258">
        <v>90</v>
      </c>
      <c r="F258">
        <v>4.5</v>
      </c>
      <c r="G258" s="8">
        <v>45006</v>
      </c>
      <c r="H258">
        <v>2023</v>
      </c>
      <c r="I258">
        <v>1</v>
      </c>
      <c r="J258">
        <v>3</v>
      </c>
      <c r="K258" t="s">
        <v>1048</v>
      </c>
      <c r="L258" t="s">
        <v>1042</v>
      </c>
      <c r="M258">
        <v>2023</v>
      </c>
      <c r="N258" t="s">
        <v>1075</v>
      </c>
      <c r="O258">
        <v>4</v>
      </c>
    </row>
    <row r="259" spans="1:15" x14ac:dyDescent="0.25">
      <c r="A259" t="s">
        <v>285</v>
      </c>
      <c r="B259" t="s">
        <v>16</v>
      </c>
      <c r="C259">
        <v>58</v>
      </c>
      <c r="D259" t="s">
        <v>11</v>
      </c>
      <c r="E259">
        <v>176</v>
      </c>
      <c r="F259">
        <v>4.2</v>
      </c>
      <c r="G259" s="8">
        <v>45007</v>
      </c>
      <c r="H259">
        <v>2023</v>
      </c>
      <c r="I259">
        <v>1</v>
      </c>
      <c r="J259">
        <v>3</v>
      </c>
      <c r="K259" t="s">
        <v>1048</v>
      </c>
      <c r="L259" t="s">
        <v>1043</v>
      </c>
      <c r="M259">
        <v>2023</v>
      </c>
      <c r="N259" t="s">
        <v>1076</v>
      </c>
      <c r="O259">
        <v>4</v>
      </c>
    </row>
    <row r="260" spans="1:15" x14ac:dyDescent="0.25">
      <c r="A260" t="s">
        <v>286</v>
      </c>
      <c r="B260" t="s">
        <v>8</v>
      </c>
      <c r="C260">
        <v>63</v>
      </c>
      <c r="D260" t="s">
        <v>6</v>
      </c>
      <c r="E260">
        <v>87</v>
      </c>
      <c r="F260">
        <v>4.5999999999999996</v>
      </c>
      <c r="G260" s="8">
        <v>45007</v>
      </c>
      <c r="H260">
        <v>2023</v>
      </c>
      <c r="I260">
        <v>1</v>
      </c>
      <c r="J260">
        <v>3</v>
      </c>
      <c r="K260" t="s">
        <v>1048</v>
      </c>
      <c r="L260" t="s">
        <v>1043</v>
      </c>
      <c r="M260">
        <v>2023</v>
      </c>
      <c r="N260" t="s">
        <v>1074</v>
      </c>
      <c r="O260">
        <v>5</v>
      </c>
    </row>
    <row r="261" spans="1:15" x14ac:dyDescent="0.25">
      <c r="A261" t="s">
        <v>287</v>
      </c>
      <c r="B261" t="s">
        <v>22</v>
      </c>
      <c r="C261">
        <v>59</v>
      </c>
      <c r="D261" t="s">
        <v>9</v>
      </c>
      <c r="E261">
        <v>128</v>
      </c>
      <c r="F261">
        <v>4.5</v>
      </c>
      <c r="G261" s="8">
        <v>45007</v>
      </c>
      <c r="H261">
        <v>2023</v>
      </c>
      <c r="I261">
        <v>1</v>
      </c>
      <c r="J261">
        <v>3</v>
      </c>
      <c r="K261" t="s">
        <v>1048</v>
      </c>
      <c r="L261" t="s">
        <v>1043</v>
      </c>
      <c r="M261">
        <v>2023</v>
      </c>
      <c r="N261" t="s">
        <v>1076</v>
      </c>
      <c r="O261">
        <v>4</v>
      </c>
    </row>
    <row r="262" spans="1:15" x14ac:dyDescent="0.25">
      <c r="A262" t="s">
        <v>288</v>
      </c>
      <c r="B262" t="s">
        <v>5</v>
      </c>
      <c r="C262">
        <v>129</v>
      </c>
      <c r="D262" t="s">
        <v>6</v>
      </c>
      <c r="E262">
        <v>120</v>
      </c>
      <c r="F262">
        <v>4.0999999999999996</v>
      </c>
      <c r="G262" s="8">
        <v>45007</v>
      </c>
      <c r="H262">
        <v>2023</v>
      </c>
      <c r="I262">
        <v>1</v>
      </c>
      <c r="J262">
        <v>3</v>
      </c>
      <c r="K262" t="s">
        <v>1048</v>
      </c>
      <c r="L262" t="s">
        <v>1043</v>
      </c>
      <c r="M262">
        <v>2023</v>
      </c>
      <c r="N262" t="s">
        <v>1075</v>
      </c>
      <c r="O262">
        <v>4</v>
      </c>
    </row>
    <row r="263" spans="1:15" x14ac:dyDescent="0.25">
      <c r="A263" t="s">
        <v>289</v>
      </c>
      <c r="B263" t="s">
        <v>24</v>
      </c>
      <c r="C263">
        <v>101</v>
      </c>
      <c r="D263" t="s">
        <v>13</v>
      </c>
      <c r="E263">
        <v>130</v>
      </c>
      <c r="F263">
        <v>4.8</v>
      </c>
      <c r="G263" s="8">
        <v>45007</v>
      </c>
      <c r="H263">
        <v>2023</v>
      </c>
      <c r="I263">
        <v>1</v>
      </c>
      <c r="J263">
        <v>3</v>
      </c>
      <c r="K263" t="s">
        <v>1048</v>
      </c>
      <c r="L263" t="s">
        <v>1043</v>
      </c>
      <c r="M263">
        <v>2023</v>
      </c>
      <c r="N263" t="s">
        <v>1074</v>
      </c>
      <c r="O263">
        <v>5</v>
      </c>
    </row>
    <row r="264" spans="1:15" x14ac:dyDescent="0.25">
      <c r="A264" t="s">
        <v>290</v>
      </c>
      <c r="B264" t="s">
        <v>19</v>
      </c>
      <c r="C264">
        <v>154</v>
      </c>
      <c r="D264" t="s">
        <v>9</v>
      </c>
      <c r="E264">
        <v>172</v>
      </c>
      <c r="F264">
        <v>3.1</v>
      </c>
      <c r="G264" s="8">
        <v>45007</v>
      </c>
      <c r="H264">
        <v>2023</v>
      </c>
      <c r="I264">
        <v>1</v>
      </c>
      <c r="J264">
        <v>3</v>
      </c>
      <c r="K264" t="s">
        <v>1048</v>
      </c>
      <c r="L264" t="s">
        <v>1043</v>
      </c>
      <c r="M264">
        <v>2023</v>
      </c>
      <c r="N264" t="s">
        <v>1075</v>
      </c>
      <c r="O264">
        <v>3</v>
      </c>
    </row>
    <row r="265" spans="1:15" x14ac:dyDescent="0.25">
      <c r="A265" t="s">
        <v>291</v>
      </c>
      <c r="B265" t="s">
        <v>18</v>
      </c>
      <c r="C265">
        <v>131</v>
      </c>
      <c r="D265" t="s">
        <v>9</v>
      </c>
      <c r="E265">
        <v>58</v>
      </c>
      <c r="F265">
        <v>4.9000000000000004</v>
      </c>
      <c r="G265" s="8">
        <v>45007</v>
      </c>
      <c r="H265">
        <v>2023</v>
      </c>
      <c r="I265">
        <v>1</v>
      </c>
      <c r="J265">
        <v>3</v>
      </c>
      <c r="K265" t="s">
        <v>1048</v>
      </c>
      <c r="L265" t="s">
        <v>1043</v>
      </c>
      <c r="M265">
        <v>2023</v>
      </c>
      <c r="N265" t="s">
        <v>1075</v>
      </c>
      <c r="O265">
        <v>5</v>
      </c>
    </row>
    <row r="266" spans="1:15" x14ac:dyDescent="0.25">
      <c r="A266" t="s">
        <v>292</v>
      </c>
      <c r="B266" t="s">
        <v>15</v>
      </c>
      <c r="C266">
        <v>111</v>
      </c>
      <c r="D266" t="s">
        <v>13</v>
      </c>
      <c r="E266">
        <v>86</v>
      </c>
      <c r="F266">
        <v>4.0999999999999996</v>
      </c>
      <c r="G266" s="8">
        <v>45008</v>
      </c>
      <c r="H266">
        <v>2023</v>
      </c>
      <c r="I266">
        <v>1</v>
      </c>
      <c r="J266">
        <v>3</v>
      </c>
      <c r="K266" t="s">
        <v>1048</v>
      </c>
      <c r="L266" t="s">
        <v>1044</v>
      </c>
      <c r="M266">
        <v>2023</v>
      </c>
      <c r="N266" t="s">
        <v>1074</v>
      </c>
      <c r="O266">
        <v>4</v>
      </c>
    </row>
    <row r="267" spans="1:15" x14ac:dyDescent="0.25">
      <c r="A267" t="s">
        <v>293</v>
      </c>
      <c r="B267" t="s">
        <v>16</v>
      </c>
      <c r="C267">
        <v>142</v>
      </c>
      <c r="D267" t="s">
        <v>13</v>
      </c>
      <c r="E267">
        <v>31</v>
      </c>
      <c r="F267">
        <v>4.4000000000000004</v>
      </c>
      <c r="G267" s="8">
        <v>45009</v>
      </c>
      <c r="H267">
        <v>2023</v>
      </c>
      <c r="I267">
        <v>1</v>
      </c>
      <c r="J267">
        <v>3</v>
      </c>
      <c r="K267" t="s">
        <v>1048</v>
      </c>
      <c r="L267" t="s">
        <v>1045</v>
      </c>
      <c r="M267">
        <v>2023</v>
      </c>
      <c r="N267" t="s">
        <v>1075</v>
      </c>
      <c r="O267">
        <v>4</v>
      </c>
    </row>
    <row r="268" spans="1:15" x14ac:dyDescent="0.25">
      <c r="A268" t="s">
        <v>294</v>
      </c>
      <c r="B268" t="s">
        <v>23</v>
      </c>
      <c r="C268">
        <v>93</v>
      </c>
      <c r="D268" t="s">
        <v>6</v>
      </c>
      <c r="E268">
        <v>72</v>
      </c>
      <c r="F268">
        <v>4.4000000000000004</v>
      </c>
      <c r="G268" s="8">
        <v>45009</v>
      </c>
      <c r="H268">
        <v>2023</v>
      </c>
      <c r="I268">
        <v>1</v>
      </c>
      <c r="J268">
        <v>3</v>
      </c>
      <c r="K268" t="s">
        <v>1048</v>
      </c>
      <c r="L268" t="s">
        <v>1045</v>
      </c>
      <c r="M268">
        <v>2023</v>
      </c>
      <c r="N268" t="s">
        <v>1074</v>
      </c>
      <c r="O268">
        <v>4</v>
      </c>
    </row>
    <row r="269" spans="1:15" x14ac:dyDescent="0.25">
      <c r="A269" t="s">
        <v>295</v>
      </c>
      <c r="B269" t="s">
        <v>16</v>
      </c>
      <c r="C269">
        <v>125</v>
      </c>
      <c r="D269" t="s">
        <v>10</v>
      </c>
      <c r="E269">
        <v>27</v>
      </c>
      <c r="F269">
        <v>3</v>
      </c>
      <c r="G269" s="8">
        <v>45010</v>
      </c>
      <c r="H269">
        <v>2023</v>
      </c>
      <c r="I269">
        <v>1</v>
      </c>
      <c r="J269">
        <v>3</v>
      </c>
      <c r="K269" t="s">
        <v>1048</v>
      </c>
      <c r="L269" t="s">
        <v>1046</v>
      </c>
      <c r="M269">
        <v>2023</v>
      </c>
      <c r="N269" t="s">
        <v>1075</v>
      </c>
      <c r="O269">
        <v>3</v>
      </c>
    </row>
    <row r="270" spans="1:15" x14ac:dyDescent="0.25">
      <c r="A270" t="s">
        <v>296</v>
      </c>
      <c r="B270" t="s">
        <v>5</v>
      </c>
      <c r="C270">
        <v>76</v>
      </c>
      <c r="D270" t="s">
        <v>9</v>
      </c>
      <c r="E270">
        <v>110</v>
      </c>
      <c r="F270">
        <v>4.4000000000000004</v>
      </c>
      <c r="G270" s="8">
        <v>45010</v>
      </c>
      <c r="H270">
        <v>2023</v>
      </c>
      <c r="I270">
        <v>1</v>
      </c>
      <c r="J270">
        <v>3</v>
      </c>
      <c r="K270" t="s">
        <v>1048</v>
      </c>
      <c r="L270" t="s">
        <v>1046</v>
      </c>
      <c r="M270">
        <v>2023</v>
      </c>
      <c r="N270" t="s">
        <v>1074</v>
      </c>
      <c r="O270">
        <v>4</v>
      </c>
    </row>
    <row r="271" spans="1:15" x14ac:dyDescent="0.25">
      <c r="A271" t="s">
        <v>297</v>
      </c>
      <c r="B271" t="s">
        <v>7</v>
      </c>
      <c r="C271">
        <v>69</v>
      </c>
      <c r="D271" t="s">
        <v>6</v>
      </c>
      <c r="E271">
        <v>126</v>
      </c>
      <c r="F271">
        <v>3.7</v>
      </c>
      <c r="G271" s="8">
        <v>45010</v>
      </c>
      <c r="H271">
        <v>2023</v>
      </c>
      <c r="I271">
        <v>1</v>
      </c>
      <c r="J271">
        <v>3</v>
      </c>
      <c r="K271" t="s">
        <v>1048</v>
      </c>
      <c r="L271" t="s">
        <v>1046</v>
      </c>
      <c r="M271">
        <v>2023</v>
      </c>
      <c r="N271" t="s">
        <v>1074</v>
      </c>
      <c r="O271">
        <v>4</v>
      </c>
    </row>
    <row r="272" spans="1:15" x14ac:dyDescent="0.25">
      <c r="A272" t="s">
        <v>298</v>
      </c>
      <c r="B272" t="s">
        <v>22</v>
      </c>
      <c r="C272">
        <v>149</v>
      </c>
      <c r="D272" t="s">
        <v>10</v>
      </c>
      <c r="E272">
        <v>60</v>
      </c>
      <c r="F272">
        <v>3.9</v>
      </c>
      <c r="G272" s="8">
        <v>45010</v>
      </c>
      <c r="H272">
        <v>2023</v>
      </c>
      <c r="I272">
        <v>1</v>
      </c>
      <c r="J272">
        <v>3</v>
      </c>
      <c r="K272" t="s">
        <v>1048</v>
      </c>
      <c r="L272" t="s">
        <v>1046</v>
      </c>
      <c r="M272">
        <v>2023</v>
      </c>
      <c r="N272" t="s">
        <v>1075</v>
      </c>
      <c r="O272">
        <v>4</v>
      </c>
    </row>
    <row r="273" spans="1:15" x14ac:dyDescent="0.25">
      <c r="A273" t="s">
        <v>299</v>
      </c>
      <c r="B273" t="s">
        <v>16</v>
      </c>
      <c r="C273">
        <v>57</v>
      </c>
      <c r="D273" t="s">
        <v>6</v>
      </c>
      <c r="E273">
        <v>35</v>
      </c>
      <c r="F273">
        <v>3.5</v>
      </c>
      <c r="G273" s="8">
        <v>45010</v>
      </c>
      <c r="H273">
        <v>2023</v>
      </c>
      <c r="I273">
        <v>1</v>
      </c>
      <c r="J273">
        <v>3</v>
      </c>
      <c r="K273" t="s">
        <v>1048</v>
      </c>
      <c r="L273" t="s">
        <v>1046</v>
      </c>
      <c r="M273">
        <v>2023</v>
      </c>
      <c r="N273" t="s">
        <v>1076</v>
      </c>
      <c r="O273">
        <v>4</v>
      </c>
    </row>
    <row r="274" spans="1:15" x14ac:dyDescent="0.25">
      <c r="A274" t="s">
        <v>300</v>
      </c>
      <c r="B274" t="s">
        <v>12</v>
      </c>
      <c r="C274">
        <v>113</v>
      </c>
      <c r="D274" t="s">
        <v>9</v>
      </c>
      <c r="E274">
        <v>81</v>
      </c>
      <c r="F274">
        <v>3.5</v>
      </c>
      <c r="G274" s="8">
        <v>45010</v>
      </c>
      <c r="H274">
        <v>2023</v>
      </c>
      <c r="I274">
        <v>1</v>
      </c>
      <c r="J274">
        <v>3</v>
      </c>
      <c r="K274" t="s">
        <v>1048</v>
      </c>
      <c r="L274" t="s">
        <v>1046</v>
      </c>
      <c r="M274">
        <v>2023</v>
      </c>
      <c r="N274" t="s">
        <v>1074</v>
      </c>
      <c r="O274">
        <v>4</v>
      </c>
    </row>
    <row r="275" spans="1:15" x14ac:dyDescent="0.25">
      <c r="A275" t="s">
        <v>301</v>
      </c>
      <c r="B275" t="s">
        <v>20</v>
      </c>
      <c r="C275">
        <v>160</v>
      </c>
      <c r="D275" t="s">
        <v>10</v>
      </c>
      <c r="E275">
        <v>116</v>
      </c>
      <c r="F275">
        <v>3.4</v>
      </c>
      <c r="G275" s="8">
        <v>45010</v>
      </c>
      <c r="H275">
        <v>2023</v>
      </c>
      <c r="I275">
        <v>1</v>
      </c>
      <c r="J275">
        <v>3</v>
      </c>
      <c r="K275" t="s">
        <v>1048</v>
      </c>
      <c r="L275" t="s">
        <v>1046</v>
      </c>
      <c r="M275">
        <v>2023</v>
      </c>
      <c r="N275" t="s">
        <v>1075</v>
      </c>
      <c r="O275">
        <v>3</v>
      </c>
    </row>
    <row r="276" spans="1:15" x14ac:dyDescent="0.25">
      <c r="A276" t="s">
        <v>302</v>
      </c>
      <c r="B276" t="s">
        <v>8</v>
      </c>
      <c r="C276">
        <v>158</v>
      </c>
      <c r="D276" t="s">
        <v>11</v>
      </c>
      <c r="E276">
        <v>60</v>
      </c>
      <c r="F276">
        <v>4.5</v>
      </c>
      <c r="G276" s="8">
        <v>45010</v>
      </c>
      <c r="H276">
        <v>2023</v>
      </c>
      <c r="I276">
        <v>1</v>
      </c>
      <c r="J276">
        <v>3</v>
      </c>
      <c r="K276" t="s">
        <v>1048</v>
      </c>
      <c r="L276" t="s">
        <v>1046</v>
      </c>
      <c r="M276">
        <v>2023</v>
      </c>
      <c r="N276" t="s">
        <v>1075</v>
      </c>
      <c r="O276">
        <v>4</v>
      </c>
    </row>
    <row r="277" spans="1:15" x14ac:dyDescent="0.25">
      <c r="A277" t="s">
        <v>303</v>
      </c>
      <c r="B277" t="s">
        <v>7</v>
      </c>
      <c r="C277">
        <v>77</v>
      </c>
      <c r="D277" t="s">
        <v>10</v>
      </c>
      <c r="E277">
        <v>130</v>
      </c>
      <c r="F277">
        <v>4.2</v>
      </c>
      <c r="G277" s="8">
        <v>45011</v>
      </c>
      <c r="H277">
        <v>2023</v>
      </c>
      <c r="I277">
        <v>1</v>
      </c>
      <c r="J277">
        <v>3</v>
      </c>
      <c r="K277" t="s">
        <v>1048</v>
      </c>
      <c r="L277" t="s">
        <v>1040</v>
      </c>
      <c r="M277">
        <v>2023</v>
      </c>
      <c r="N277" t="s">
        <v>1074</v>
      </c>
      <c r="O277">
        <v>4</v>
      </c>
    </row>
    <row r="278" spans="1:15" x14ac:dyDescent="0.25">
      <c r="A278" t="s">
        <v>304</v>
      </c>
      <c r="B278" t="s">
        <v>14</v>
      </c>
      <c r="C278">
        <v>118</v>
      </c>
      <c r="D278" t="s">
        <v>13</v>
      </c>
      <c r="E278">
        <v>99</v>
      </c>
      <c r="F278">
        <v>5</v>
      </c>
      <c r="G278" s="8">
        <v>45011</v>
      </c>
      <c r="H278">
        <v>2023</v>
      </c>
      <c r="I278">
        <v>1</v>
      </c>
      <c r="J278">
        <v>3</v>
      </c>
      <c r="K278" t="s">
        <v>1048</v>
      </c>
      <c r="L278" t="s">
        <v>1040</v>
      </c>
      <c r="M278">
        <v>2023</v>
      </c>
      <c r="N278" t="s">
        <v>1074</v>
      </c>
      <c r="O278">
        <v>5</v>
      </c>
    </row>
    <row r="279" spans="1:15" x14ac:dyDescent="0.25">
      <c r="A279" t="s">
        <v>305</v>
      </c>
      <c r="B279" t="s">
        <v>19</v>
      </c>
      <c r="C279">
        <v>75</v>
      </c>
      <c r="D279" t="s">
        <v>9</v>
      </c>
      <c r="E279">
        <v>135</v>
      </c>
      <c r="F279">
        <v>4.7</v>
      </c>
      <c r="G279" s="8">
        <v>45011</v>
      </c>
      <c r="H279">
        <v>2023</v>
      </c>
      <c r="I279">
        <v>1</v>
      </c>
      <c r="J279">
        <v>3</v>
      </c>
      <c r="K279" t="s">
        <v>1048</v>
      </c>
      <c r="L279" t="s">
        <v>1040</v>
      </c>
      <c r="M279">
        <v>2023</v>
      </c>
      <c r="N279" t="s">
        <v>1074</v>
      </c>
      <c r="O279">
        <v>5</v>
      </c>
    </row>
    <row r="280" spans="1:15" x14ac:dyDescent="0.25">
      <c r="A280" t="s">
        <v>306</v>
      </c>
      <c r="B280" t="s">
        <v>12</v>
      </c>
      <c r="C280">
        <v>103</v>
      </c>
      <c r="D280" t="s">
        <v>10</v>
      </c>
      <c r="E280">
        <v>42</v>
      </c>
      <c r="F280">
        <v>2.8</v>
      </c>
      <c r="G280" s="8">
        <v>45011</v>
      </c>
      <c r="H280">
        <v>2023</v>
      </c>
      <c r="I280">
        <v>1</v>
      </c>
      <c r="J280">
        <v>3</v>
      </c>
      <c r="K280" t="s">
        <v>1048</v>
      </c>
      <c r="L280" t="s">
        <v>1040</v>
      </c>
      <c r="M280">
        <v>2023</v>
      </c>
      <c r="N280" t="s">
        <v>1074</v>
      </c>
      <c r="O280">
        <v>3</v>
      </c>
    </row>
    <row r="281" spans="1:15" x14ac:dyDescent="0.25">
      <c r="A281" t="s">
        <v>307</v>
      </c>
      <c r="B281" t="s">
        <v>7</v>
      </c>
      <c r="C281">
        <v>116</v>
      </c>
      <c r="D281" t="s">
        <v>13</v>
      </c>
      <c r="E281">
        <v>63</v>
      </c>
      <c r="F281">
        <v>3.4</v>
      </c>
      <c r="G281" s="8">
        <v>45012</v>
      </c>
      <c r="H281">
        <v>2023</v>
      </c>
      <c r="I281">
        <v>1</v>
      </c>
      <c r="J281">
        <v>3</v>
      </c>
      <c r="K281" t="s">
        <v>1048</v>
      </c>
      <c r="L281" t="s">
        <v>1041</v>
      </c>
      <c r="M281">
        <v>2023</v>
      </c>
      <c r="N281" t="s">
        <v>1074</v>
      </c>
      <c r="O281">
        <v>3</v>
      </c>
    </row>
    <row r="282" spans="1:15" x14ac:dyDescent="0.25">
      <c r="A282" t="s">
        <v>308</v>
      </c>
      <c r="B282" t="s">
        <v>15</v>
      </c>
      <c r="C282">
        <v>61</v>
      </c>
      <c r="D282" t="s">
        <v>11</v>
      </c>
      <c r="E282">
        <v>140</v>
      </c>
      <c r="F282">
        <v>1.8</v>
      </c>
      <c r="G282" s="8">
        <v>45012</v>
      </c>
      <c r="H282">
        <v>2023</v>
      </c>
      <c r="I282">
        <v>1</v>
      </c>
      <c r="J282">
        <v>3</v>
      </c>
      <c r="K282" t="s">
        <v>1048</v>
      </c>
      <c r="L282" t="s">
        <v>1041</v>
      </c>
      <c r="M282">
        <v>2023</v>
      </c>
      <c r="N282" t="s">
        <v>1074</v>
      </c>
      <c r="O282">
        <v>2</v>
      </c>
    </row>
    <row r="283" spans="1:15" x14ac:dyDescent="0.25">
      <c r="A283" t="s">
        <v>309</v>
      </c>
      <c r="B283" t="s">
        <v>16</v>
      </c>
      <c r="C283">
        <v>126</v>
      </c>
      <c r="D283" t="s">
        <v>9</v>
      </c>
      <c r="E283">
        <v>128</v>
      </c>
      <c r="F283">
        <v>4.2</v>
      </c>
      <c r="G283" s="8">
        <v>45012</v>
      </c>
      <c r="H283">
        <v>2023</v>
      </c>
      <c r="I283">
        <v>1</v>
      </c>
      <c r="J283">
        <v>3</v>
      </c>
      <c r="K283" t="s">
        <v>1048</v>
      </c>
      <c r="L283" t="s">
        <v>1041</v>
      </c>
      <c r="M283">
        <v>2023</v>
      </c>
      <c r="N283" t="s">
        <v>1075</v>
      </c>
      <c r="O283">
        <v>4</v>
      </c>
    </row>
    <row r="284" spans="1:15" x14ac:dyDescent="0.25">
      <c r="A284" t="s">
        <v>310</v>
      </c>
      <c r="B284" t="s">
        <v>24</v>
      </c>
      <c r="C284">
        <v>141</v>
      </c>
      <c r="D284" t="s">
        <v>6</v>
      </c>
      <c r="E284">
        <v>80</v>
      </c>
      <c r="F284">
        <v>4.4000000000000004</v>
      </c>
      <c r="G284" s="8">
        <v>45012</v>
      </c>
      <c r="H284">
        <v>2023</v>
      </c>
      <c r="I284">
        <v>1</v>
      </c>
      <c r="J284">
        <v>3</v>
      </c>
      <c r="K284" t="s">
        <v>1048</v>
      </c>
      <c r="L284" t="s">
        <v>1041</v>
      </c>
      <c r="M284">
        <v>2023</v>
      </c>
      <c r="N284" t="s">
        <v>1075</v>
      </c>
      <c r="O284">
        <v>4</v>
      </c>
    </row>
    <row r="285" spans="1:15" x14ac:dyDescent="0.25">
      <c r="A285" t="s">
        <v>311</v>
      </c>
      <c r="B285" t="s">
        <v>8</v>
      </c>
      <c r="C285">
        <v>95</v>
      </c>
      <c r="D285" t="s">
        <v>13</v>
      </c>
      <c r="E285">
        <v>28</v>
      </c>
      <c r="F285">
        <v>2.7</v>
      </c>
      <c r="G285" s="8">
        <v>45012</v>
      </c>
      <c r="H285">
        <v>2023</v>
      </c>
      <c r="I285">
        <v>1</v>
      </c>
      <c r="J285">
        <v>3</v>
      </c>
      <c r="K285" t="s">
        <v>1048</v>
      </c>
      <c r="L285" t="s">
        <v>1041</v>
      </c>
      <c r="M285">
        <v>2023</v>
      </c>
      <c r="N285" t="s">
        <v>1074</v>
      </c>
      <c r="O285">
        <v>3</v>
      </c>
    </row>
    <row r="286" spans="1:15" x14ac:dyDescent="0.25">
      <c r="A286" t="s">
        <v>312</v>
      </c>
      <c r="B286" t="s">
        <v>19</v>
      </c>
      <c r="C286">
        <v>39</v>
      </c>
      <c r="D286" t="s">
        <v>11</v>
      </c>
      <c r="E286">
        <v>81</v>
      </c>
      <c r="F286">
        <v>5</v>
      </c>
      <c r="G286" s="8">
        <v>45013</v>
      </c>
      <c r="H286">
        <v>2023</v>
      </c>
      <c r="I286">
        <v>1</v>
      </c>
      <c r="J286">
        <v>3</v>
      </c>
      <c r="K286" t="s">
        <v>1048</v>
      </c>
      <c r="L286" t="s">
        <v>1042</v>
      </c>
      <c r="M286">
        <v>2023</v>
      </c>
      <c r="N286" t="s">
        <v>1076</v>
      </c>
      <c r="O286">
        <v>5</v>
      </c>
    </row>
    <row r="287" spans="1:15" x14ac:dyDescent="0.25">
      <c r="A287" t="s">
        <v>313</v>
      </c>
      <c r="B287" t="s">
        <v>12</v>
      </c>
      <c r="C287">
        <v>127</v>
      </c>
      <c r="D287" t="s">
        <v>9</v>
      </c>
      <c r="E287">
        <v>99</v>
      </c>
      <c r="F287">
        <v>3.9</v>
      </c>
      <c r="G287" s="8">
        <v>45013</v>
      </c>
      <c r="H287">
        <v>2023</v>
      </c>
      <c r="I287">
        <v>1</v>
      </c>
      <c r="J287">
        <v>3</v>
      </c>
      <c r="K287" t="s">
        <v>1048</v>
      </c>
      <c r="L287" t="s">
        <v>1042</v>
      </c>
      <c r="M287">
        <v>2023</v>
      </c>
      <c r="N287" t="s">
        <v>1075</v>
      </c>
      <c r="O287">
        <v>4</v>
      </c>
    </row>
    <row r="288" spans="1:15" x14ac:dyDescent="0.25">
      <c r="A288" t="s">
        <v>314</v>
      </c>
      <c r="B288" t="s">
        <v>15</v>
      </c>
      <c r="C288">
        <v>78</v>
      </c>
      <c r="D288" t="s">
        <v>9</v>
      </c>
      <c r="E288">
        <v>43</v>
      </c>
      <c r="F288">
        <v>3.8</v>
      </c>
      <c r="G288" s="8">
        <v>45013</v>
      </c>
      <c r="H288">
        <v>2023</v>
      </c>
      <c r="I288">
        <v>1</v>
      </c>
      <c r="J288">
        <v>3</v>
      </c>
      <c r="K288" t="s">
        <v>1048</v>
      </c>
      <c r="L288" t="s">
        <v>1042</v>
      </c>
      <c r="M288">
        <v>2023</v>
      </c>
      <c r="N288" t="s">
        <v>1074</v>
      </c>
      <c r="O288">
        <v>4</v>
      </c>
    </row>
    <row r="289" spans="1:15" x14ac:dyDescent="0.25">
      <c r="A289" t="s">
        <v>315</v>
      </c>
      <c r="B289" t="s">
        <v>14</v>
      </c>
      <c r="C289">
        <v>40</v>
      </c>
      <c r="D289" t="s">
        <v>9</v>
      </c>
      <c r="E289">
        <v>34</v>
      </c>
      <c r="F289">
        <v>4.5999999999999996</v>
      </c>
      <c r="G289" s="8">
        <v>45013</v>
      </c>
      <c r="H289">
        <v>2023</v>
      </c>
      <c r="I289">
        <v>1</v>
      </c>
      <c r="J289">
        <v>3</v>
      </c>
      <c r="K289" t="s">
        <v>1048</v>
      </c>
      <c r="L289" t="s">
        <v>1042</v>
      </c>
      <c r="M289">
        <v>2023</v>
      </c>
      <c r="N289" t="s">
        <v>1076</v>
      </c>
      <c r="O289">
        <v>5</v>
      </c>
    </row>
    <row r="290" spans="1:15" x14ac:dyDescent="0.25">
      <c r="A290" t="s">
        <v>316</v>
      </c>
      <c r="B290" t="s">
        <v>15</v>
      </c>
      <c r="C290">
        <v>56</v>
      </c>
      <c r="D290" t="s">
        <v>11</v>
      </c>
      <c r="E290">
        <v>225</v>
      </c>
      <c r="F290">
        <v>4.5999999999999996</v>
      </c>
      <c r="G290" s="8">
        <v>45013</v>
      </c>
      <c r="H290">
        <v>2023</v>
      </c>
      <c r="I290">
        <v>1</v>
      </c>
      <c r="J290">
        <v>3</v>
      </c>
      <c r="K290" t="s">
        <v>1048</v>
      </c>
      <c r="L290" t="s">
        <v>1042</v>
      </c>
      <c r="M290">
        <v>2023</v>
      </c>
      <c r="N290" t="s">
        <v>1076</v>
      </c>
      <c r="O290">
        <v>5</v>
      </c>
    </row>
    <row r="291" spans="1:15" x14ac:dyDescent="0.25">
      <c r="A291" t="s">
        <v>317</v>
      </c>
      <c r="B291" t="s">
        <v>19</v>
      </c>
      <c r="C291">
        <v>59</v>
      </c>
      <c r="D291" t="s">
        <v>6</v>
      </c>
      <c r="E291">
        <v>210</v>
      </c>
      <c r="F291">
        <v>4.5</v>
      </c>
      <c r="G291" s="8">
        <v>45013</v>
      </c>
      <c r="H291">
        <v>2023</v>
      </c>
      <c r="I291">
        <v>1</v>
      </c>
      <c r="J291">
        <v>3</v>
      </c>
      <c r="K291" t="s">
        <v>1048</v>
      </c>
      <c r="L291" t="s">
        <v>1042</v>
      </c>
      <c r="M291">
        <v>2023</v>
      </c>
      <c r="N291" t="s">
        <v>1076</v>
      </c>
      <c r="O291">
        <v>4</v>
      </c>
    </row>
    <row r="292" spans="1:15" x14ac:dyDescent="0.25">
      <c r="A292" t="s">
        <v>318</v>
      </c>
      <c r="B292" t="s">
        <v>16</v>
      </c>
      <c r="C292">
        <v>30</v>
      </c>
      <c r="D292" t="s">
        <v>9</v>
      </c>
      <c r="E292">
        <v>168</v>
      </c>
      <c r="F292">
        <v>4.2</v>
      </c>
      <c r="G292" s="8">
        <v>45013</v>
      </c>
      <c r="H292">
        <v>2023</v>
      </c>
      <c r="I292">
        <v>1</v>
      </c>
      <c r="J292">
        <v>3</v>
      </c>
      <c r="K292" t="s">
        <v>1048</v>
      </c>
      <c r="L292" t="s">
        <v>1042</v>
      </c>
      <c r="M292">
        <v>2023</v>
      </c>
      <c r="N292" t="s">
        <v>1077</v>
      </c>
      <c r="O292">
        <v>4</v>
      </c>
    </row>
    <row r="293" spans="1:15" x14ac:dyDescent="0.25">
      <c r="A293" t="s">
        <v>319</v>
      </c>
      <c r="B293" t="s">
        <v>14</v>
      </c>
      <c r="C293">
        <v>63</v>
      </c>
      <c r="D293" t="s">
        <v>10</v>
      </c>
      <c r="E293">
        <v>82</v>
      </c>
      <c r="F293">
        <v>4.5</v>
      </c>
      <c r="G293" s="8">
        <v>45014</v>
      </c>
      <c r="H293">
        <v>2023</v>
      </c>
      <c r="I293">
        <v>1</v>
      </c>
      <c r="J293">
        <v>3</v>
      </c>
      <c r="K293" t="s">
        <v>1048</v>
      </c>
      <c r="L293" t="s">
        <v>1043</v>
      </c>
      <c r="M293">
        <v>2023</v>
      </c>
      <c r="N293" t="s">
        <v>1074</v>
      </c>
      <c r="O293">
        <v>4</v>
      </c>
    </row>
    <row r="294" spans="1:15" x14ac:dyDescent="0.25">
      <c r="A294" t="s">
        <v>320</v>
      </c>
      <c r="B294" t="s">
        <v>23</v>
      </c>
      <c r="C294">
        <v>56</v>
      </c>
      <c r="D294" t="s">
        <v>13</v>
      </c>
      <c r="E294">
        <v>88</v>
      </c>
      <c r="F294">
        <v>4.0999999999999996</v>
      </c>
      <c r="G294" s="8">
        <v>45014</v>
      </c>
      <c r="H294">
        <v>2023</v>
      </c>
      <c r="I294">
        <v>1</v>
      </c>
      <c r="J294">
        <v>3</v>
      </c>
      <c r="K294" t="s">
        <v>1048</v>
      </c>
      <c r="L294" t="s">
        <v>1043</v>
      </c>
      <c r="M294">
        <v>2023</v>
      </c>
      <c r="N294" t="s">
        <v>1076</v>
      </c>
      <c r="O294">
        <v>4</v>
      </c>
    </row>
    <row r="295" spans="1:15" x14ac:dyDescent="0.25">
      <c r="A295" t="s">
        <v>321</v>
      </c>
      <c r="B295" t="s">
        <v>5</v>
      </c>
      <c r="C295">
        <v>95</v>
      </c>
      <c r="D295" t="s">
        <v>10</v>
      </c>
      <c r="E295">
        <v>111</v>
      </c>
      <c r="F295">
        <v>3.3</v>
      </c>
      <c r="G295" s="8">
        <v>45014</v>
      </c>
      <c r="H295">
        <v>2023</v>
      </c>
      <c r="I295">
        <v>1</v>
      </c>
      <c r="J295">
        <v>3</v>
      </c>
      <c r="K295" t="s">
        <v>1048</v>
      </c>
      <c r="L295" t="s">
        <v>1043</v>
      </c>
      <c r="M295">
        <v>2023</v>
      </c>
      <c r="N295" t="s">
        <v>1074</v>
      </c>
      <c r="O295">
        <v>3</v>
      </c>
    </row>
    <row r="296" spans="1:15" x14ac:dyDescent="0.25">
      <c r="A296" t="s">
        <v>322</v>
      </c>
      <c r="B296" t="s">
        <v>17</v>
      </c>
      <c r="C296">
        <v>128</v>
      </c>
      <c r="D296" t="s">
        <v>6</v>
      </c>
      <c r="E296">
        <v>60</v>
      </c>
      <c r="F296">
        <v>3.8</v>
      </c>
      <c r="G296" s="8">
        <v>45014</v>
      </c>
      <c r="H296">
        <v>2023</v>
      </c>
      <c r="I296">
        <v>1</v>
      </c>
      <c r="J296">
        <v>3</v>
      </c>
      <c r="K296" t="s">
        <v>1048</v>
      </c>
      <c r="L296" t="s">
        <v>1043</v>
      </c>
      <c r="M296">
        <v>2023</v>
      </c>
      <c r="N296" t="s">
        <v>1075</v>
      </c>
      <c r="O296">
        <v>4</v>
      </c>
    </row>
    <row r="297" spans="1:15" x14ac:dyDescent="0.25">
      <c r="A297" t="s">
        <v>323</v>
      </c>
      <c r="B297" t="s">
        <v>8</v>
      </c>
      <c r="C297">
        <v>49</v>
      </c>
      <c r="D297" t="s">
        <v>10</v>
      </c>
      <c r="E297">
        <v>80</v>
      </c>
      <c r="F297">
        <v>3</v>
      </c>
      <c r="G297" s="8">
        <v>45014</v>
      </c>
      <c r="H297">
        <v>2023</v>
      </c>
      <c r="I297">
        <v>1</v>
      </c>
      <c r="J297">
        <v>3</v>
      </c>
      <c r="K297" t="s">
        <v>1048</v>
      </c>
      <c r="L297" t="s">
        <v>1043</v>
      </c>
      <c r="M297">
        <v>2023</v>
      </c>
      <c r="N297" t="s">
        <v>1076</v>
      </c>
      <c r="O297">
        <v>3</v>
      </c>
    </row>
    <row r="298" spans="1:15" x14ac:dyDescent="0.25">
      <c r="A298" t="s">
        <v>324</v>
      </c>
      <c r="B298" t="s">
        <v>17</v>
      </c>
      <c r="C298">
        <v>89</v>
      </c>
      <c r="D298" t="s">
        <v>11</v>
      </c>
      <c r="E298">
        <v>90</v>
      </c>
      <c r="F298">
        <v>4.5999999999999996</v>
      </c>
      <c r="G298" s="8">
        <v>45016</v>
      </c>
      <c r="H298">
        <v>2023</v>
      </c>
      <c r="I298">
        <v>1</v>
      </c>
      <c r="J298">
        <v>3</v>
      </c>
      <c r="K298" t="s">
        <v>1048</v>
      </c>
      <c r="L298" t="s">
        <v>1045</v>
      </c>
      <c r="M298">
        <v>2023</v>
      </c>
      <c r="N298" t="s">
        <v>1074</v>
      </c>
      <c r="O298">
        <v>5</v>
      </c>
    </row>
    <row r="299" spans="1:15" x14ac:dyDescent="0.25">
      <c r="A299" t="s">
        <v>325</v>
      </c>
      <c r="B299" t="s">
        <v>22</v>
      </c>
      <c r="C299">
        <v>87</v>
      </c>
      <c r="D299" t="s">
        <v>10</v>
      </c>
      <c r="E299">
        <v>225</v>
      </c>
      <c r="F299">
        <v>2.9</v>
      </c>
      <c r="G299" s="8">
        <v>45016</v>
      </c>
      <c r="H299">
        <v>2023</v>
      </c>
      <c r="I299">
        <v>1</v>
      </c>
      <c r="J299">
        <v>3</v>
      </c>
      <c r="K299" t="s">
        <v>1048</v>
      </c>
      <c r="L299" t="s">
        <v>1045</v>
      </c>
      <c r="M299">
        <v>2023</v>
      </c>
      <c r="N299" t="s">
        <v>1074</v>
      </c>
      <c r="O299">
        <v>3</v>
      </c>
    </row>
    <row r="300" spans="1:15" x14ac:dyDescent="0.25">
      <c r="A300" t="s">
        <v>326</v>
      </c>
      <c r="B300" t="s">
        <v>20</v>
      </c>
      <c r="C300">
        <v>60</v>
      </c>
      <c r="D300" t="s">
        <v>9</v>
      </c>
      <c r="E300">
        <v>215</v>
      </c>
      <c r="F300">
        <v>3.2</v>
      </c>
      <c r="G300" s="8">
        <v>45017</v>
      </c>
      <c r="H300">
        <v>2023</v>
      </c>
      <c r="I300">
        <v>2</v>
      </c>
      <c r="J300">
        <v>4</v>
      </c>
      <c r="K300" t="s">
        <v>1049</v>
      </c>
      <c r="L300" t="s">
        <v>1046</v>
      </c>
      <c r="M300">
        <v>2023</v>
      </c>
      <c r="N300" t="s">
        <v>1076</v>
      </c>
      <c r="O300">
        <v>3</v>
      </c>
    </row>
    <row r="301" spans="1:15" x14ac:dyDescent="0.25">
      <c r="A301" t="s">
        <v>327</v>
      </c>
      <c r="B301" t="s">
        <v>21</v>
      </c>
      <c r="C301">
        <v>42</v>
      </c>
      <c r="D301" t="s">
        <v>11</v>
      </c>
      <c r="E301">
        <v>45</v>
      </c>
      <c r="F301">
        <v>1.5</v>
      </c>
      <c r="G301" s="8">
        <v>45017</v>
      </c>
      <c r="H301">
        <v>2023</v>
      </c>
      <c r="I301">
        <v>2</v>
      </c>
      <c r="J301">
        <v>4</v>
      </c>
      <c r="K301" t="s">
        <v>1049</v>
      </c>
      <c r="L301" t="s">
        <v>1046</v>
      </c>
      <c r="M301">
        <v>2023</v>
      </c>
      <c r="N301" t="s">
        <v>1076</v>
      </c>
      <c r="O301">
        <v>2</v>
      </c>
    </row>
    <row r="302" spans="1:15" x14ac:dyDescent="0.25">
      <c r="A302" t="s">
        <v>328</v>
      </c>
      <c r="B302" t="s">
        <v>18</v>
      </c>
      <c r="C302">
        <v>99</v>
      </c>
      <c r="D302" t="s">
        <v>9</v>
      </c>
      <c r="E302">
        <v>74</v>
      </c>
      <c r="F302">
        <v>4</v>
      </c>
      <c r="G302" s="8">
        <v>45017</v>
      </c>
      <c r="H302">
        <v>2023</v>
      </c>
      <c r="I302">
        <v>2</v>
      </c>
      <c r="J302">
        <v>4</v>
      </c>
      <c r="K302" t="s">
        <v>1049</v>
      </c>
      <c r="L302" t="s">
        <v>1046</v>
      </c>
      <c r="M302">
        <v>2023</v>
      </c>
      <c r="N302" t="s">
        <v>1074</v>
      </c>
      <c r="O302">
        <v>4</v>
      </c>
    </row>
    <row r="303" spans="1:15" x14ac:dyDescent="0.25">
      <c r="A303" t="s">
        <v>329</v>
      </c>
      <c r="B303" t="s">
        <v>23</v>
      </c>
      <c r="C303">
        <v>20</v>
      </c>
      <c r="D303" t="s">
        <v>11</v>
      </c>
      <c r="E303">
        <v>60</v>
      </c>
      <c r="F303">
        <v>3.6</v>
      </c>
      <c r="G303" s="8">
        <v>45017</v>
      </c>
      <c r="H303">
        <v>2023</v>
      </c>
      <c r="I303">
        <v>2</v>
      </c>
      <c r="J303">
        <v>4</v>
      </c>
      <c r="K303" t="s">
        <v>1049</v>
      </c>
      <c r="L303" t="s">
        <v>1046</v>
      </c>
      <c r="M303">
        <v>2023</v>
      </c>
      <c r="N303" t="s">
        <v>1077</v>
      </c>
      <c r="O303">
        <v>4</v>
      </c>
    </row>
    <row r="304" spans="1:15" x14ac:dyDescent="0.25">
      <c r="A304" t="s">
        <v>330</v>
      </c>
      <c r="B304" t="s">
        <v>14</v>
      </c>
      <c r="C304">
        <v>65</v>
      </c>
      <c r="D304" t="s">
        <v>9</v>
      </c>
      <c r="E304">
        <v>64</v>
      </c>
      <c r="F304">
        <v>3.7</v>
      </c>
      <c r="G304" s="8">
        <v>45017</v>
      </c>
      <c r="H304">
        <v>2023</v>
      </c>
      <c r="I304">
        <v>2</v>
      </c>
      <c r="J304">
        <v>4</v>
      </c>
      <c r="K304" t="s">
        <v>1049</v>
      </c>
      <c r="L304" t="s">
        <v>1046</v>
      </c>
      <c r="M304">
        <v>2023</v>
      </c>
      <c r="N304" t="s">
        <v>1074</v>
      </c>
      <c r="O304">
        <v>4</v>
      </c>
    </row>
    <row r="305" spans="1:15" x14ac:dyDescent="0.25">
      <c r="A305" t="s">
        <v>331</v>
      </c>
      <c r="B305" t="s">
        <v>16</v>
      </c>
      <c r="C305">
        <v>71</v>
      </c>
      <c r="D305" t="s">
        <v>10</v>
      </c>
      <c r="E305">
        <v>110</v>
      </c>
      <c r="F305">
        <v>4.8</v>
      </c>
      <c r="G305" s="8">
        <v>45018</v>
      </c>
      <c r="H305">
        <v>2023</v>
      </c>
      <c r="I305">
        <v>2</v>
      </c>
      <c r="J305">
        <v>4</v>
      </c>
      <c r="K305" t="s">
        <v>1049</v>
      </c>
      <c r="L305" t="s">
        <v>1040</v>
      </c>
      <c r="M305">
        <v>2023</v>
      </c>
      <c r="N305" t="s">
        <v>1074</v>
      </c>
      <c r="O305">
        <v>5</v>
      </c>
    </row>
    <row r="306" spans="1:15" x14ac:dyDescent="0.25">
      <c r="A306" t="s">
        <v>332</v>
      </c>
      <c r="B306" t="s">
        <v>12</v>
      </c>
      <c r="C306">
        <v>95</v>
      </c>
      <c r="D306" t="s">
        <v>6</v>
      </c>
      <c r="E306">
        <v>52</v>
      </c>
      <c r="F306">
        <v>1.2</v>
      </c>
      <c r="G306" s="8">
        <v>45018</v>
      </c>
      <c r="H306">
        <v>2023</v>
      </c>
      <c r="I306">
        <v>2</v>
      </c>
      <c r="J306">
        <v>4</v>
      </c>
      <c r="K306" t="s">
        <v>1049</v>
      </c>
      <c r="L306" t="s">
        <v>1040</v>
      </c>
      <c r="M306">
        <v>2023</v>
      </c>
      <c r="N306" t="s">
        <v>1074</v>
      </c>
      <c r="O306">
        <v>1</v>
      </c>
    </row>
    <row r="307" spans="1:15" x14ac:dyDescent="0.25">
      <c r="A307" t="s">
        <v>333</v>
      </c>
      <c r="B307" t="s">
        <v>23</v>
      </c>
      <c r="C307">
        <v>81</v>
      </c>
      <c r="D307" t="s">
        <v>13</v>
      </c>
      <c r="E307">
        <v>160</v>
      </c>
      <c r="F307">
        <v>4.7</v>
      </c>
      <c r="G307" s="8">
        <v>45019</v>
      </c>
      <c r="H307">
        <v>2023</v>
      </c>
      <c r="I307">
        <v>2</v>
      </c>
      <c r="J307">
        <v>4</v>
      </c>
      <c r="K307" t="s">
        <v>1049</v>
      </c>
      <c r="L307" t="s">
        <v>1041</v>
      </c>
      <c r="M307">
        <v>2023</v>
      </c>
      <c r="N307" t="s">
        <v>1074</v>
      </c>
      <c r="O307">
        <v>5</v>
      </c>
    </row>
    <row r="308" spans="1:15" x14ac:dyDescent="0.25">
      <c r="A308" t="s">
        <v>334</v>
      </c>
      <c r="B308" t="s">
        <v>7</v>
      </c>
      <c r="C308">
        <v>137</v>
      </c>
      <c r="D308" t="s">
        <v>13</v>
      </c>
      <c r="E308">
        <v>215</v>
      </c>
      <c r="F308">
        <v>4.7</v>
      </c>
      <c r="G308" s="8">
        <v>45019</v>
      </c>
      <c r="H308">
        <v>2023</v>
      </c>
      <c r="I308">
        <v>2</v>
      </c>
      <c r="J308">
        <v>4</v>
      </c>
      <c r="K308" t="s">
        <v>1049</v>
      </c>
      <c r="L308" t="s">
        <v>1041</v>
      </c>
      <c r="M308">
        <v>2023</v>
      </c>
      <c r="N308" t="s">
        <v>1075</v>
      </c>
      <c r="O308">
        <v>5</v>
      </c>
    </row>
    <row r="309" spans="1:15" x14ac:dyDescent="0.25">
      <c r="A309" t="s">
        <v>335</v>
      </c>
      <c r="B309" t="s">
        <v>7</v>
      </c>
      <c r="C309">
        <v>40</v>
      </c>
      <c r="D309" t="s">
        <v>6</v>
      </c>
      <c r="E309">
        <v>220</v>
      </c>
      <c r="F309">
        <v>4.5</v>
      </c>
      <c r="G309" s="8">
        <v>45019</v>
      </c>
      <c r="H309">
        <v>2023</v>
      </c>
      <c r="I309">
        <v>2</v>
      </c>
      <c r="J309">
        <v>4</v>
      </c>
      <c r="K309" t="s">
        <v>1049</v>
      </c>
      <c r="L309" t="s">
        <v>1041</v>
      </c>
      <c r="M309">
        <v>2023</v>
      </c>
      <c r="N309" t="s">
        <v>1076</v>
      </c>
      <c r="O309">
        <v>4</v>
      </c>
    </row>
    <row r="310" spans="1:15" x14ac:dyDescent="0.25">
      <c r="A310" t="s">
        <v>336</v>
      </c>
      <c r="B310" t="s">
        <v>18</v>
      </c>
      <c r="C310">
        <v>111</v>
      </c>
      <c r="D310" t="s">
        <v>9</v>
      </c>
      <c r="E310">
        <v>175</v>
      </c>
      <c r="F310">
        <v>3.5</v>
      </c>
      <c r="G310" s="8">
        <v>45020</v>
      </c>
      <c r="H310">
        <v>2023</v>
      </c>
      <c r="I310">
        <v>2</v>
      </c>
      <c r="J310">
        <v>4</v>
      </c>
      <c r="K310" t="s">
        <v>1049</v>
      </c>
      <c r="L310" t="s">
        <v>1042</v>
      </c>
      <c r="M310">
        <v>2023</v>
      </c>
      <c r="N310" t="s">
        <v>1074</v>
      </c>
      <c r="O310">
        <v>4</v>
      </c>
    </row>
    <row r="311" spans="1:15" x14ac:dyDescent="0.25">
      <c r="A311" t="s">
        <v>337</v>
      </c>
      <c r="B311" t="s">
        <v>16</v>
      </c>
      <c r="C311">
        <v>106</v>
      </c>
      <c r="D311" t="s">
        <v>9</v>
      </c>
      <c r="E311">
        <v>145</v>
      </c>
      <c r="F311">
        <v>4.0999999999999996</v>
      </c>
      <c r="G311" s="8">
        <v>45020</v>
      </c>
      <c r="H311">
        <v>2023</v>
      </c>
      <c r="I311">
        <v>2</v>
      </c>
      <c r="J311">
        <v>4</v>
      </c>
      <c r="K311" t="s">
        <v>1049</v>
      </c>
      <c r="L311" t="s">
        <v>1042</v>
      </c>
      <c r="M311">
        <v>2023</v>
      </c>
      <c r="N311" t="s">
        <v>1074</v>
      </c>
      <c r="O311">
        <v>4</v>
      </c>
    </row>
    <row r="312" spans="1:15" x14ac:dyDescent="0.25">
      <c r="A312" t="s">
        <v>338</v>
      </c>
      <c r="B312" t="s">
        <v>21</v>
      </c>
      <c r="C312">
        <v>133</v>
      </c>
      <c r="D312" t="s">
        <v>11</v>
      </c>
      <c r="E312">
        <v>72</v>
      </c>
      <c r="F312">
        <v>4.4000000000000004</v>
      </c>
      <c r="G312" s="8">
        <v>45020</v>
      </c>
      <c r="H312">
        <v>2023</v>
      </c>
      <c r="I312">
        <v>2</v>
      </c>
      <c r="J312">
        <v>4</v>
      </c>
      <c r="K312" t="s">
        <v>1049</v>
      </c>
      <c r="L312" t="s">
        <v>1042</v>
      </c>
      <c r="M312">
        <v>2023</v>
      </c>
      <c r="N312" t="s">
        <v>1075</v>
      </c>
      <c r="O312">
        <v>4</v>
      </c>
    </row>
    <row r="313" spans="1:15" x14ac:dyDescent="0.25">
      <c r="A313" t="s">
        <v>339</v>
      </c>
      <c r="B313" t="s">
        <v>15</v>
      </c>
      <c r="C313">
        <v>38</v>
      </c>
      <c r="D313" t="s">
        <v>9</v>
      </c>
      <c r="E313">
        <v>81</v>
      </c>
      <c r="F313">
        <v>3.6</v>
      </c>
      <c r="G313" s="8">
        <v>45021</v>
      </c>
      <c r="H313">
        <v>2023</v>
      </c>
      <c r="I313">
        <v>2</v>
      </c>
      <c r="J313">
        <v>4</v>
      </c>
      <c r="K313" t="s">
        <v>1049</v>
      </c>
      <c r="L313" t="s">
        <v>1043</v>
      </c>
      <c r="M313">
        <v>2023</v>
      </c>
      <c r="N313" t="s">
        <v>1076</v>
      </c>
      <c r="O313">
        <v>4</v>
      </c>
    </row>
    <row r="314" spans="1:15" x14ac:dyDescent="0.25">
      <c r="A314" t="s">
        <v>340</v>
      </c>
      <c r="B314" t="s">
        <v>19</v>
      </c>
      <c r="C314">
        <v>130</v>
      </c>
      <c r="D314" t="s">
        <v>6</v>
      </c>
      <c r="E314">
        <v>54</v>
      </c>
      <c r="F314">
        <v>4.0999999999999996</v>
      </c>
      <c r="G314" s="8">
        <v>45021</v>
      </c>
      <c r="H314">
        <v>2023</v>
      </c>
      <c r="I314">
        <v>2</v>
      </c>
      <c r="J314">
        <v>4</v>
      </c>
      <c r="K314" t="s">
        <v>1049</v>
      </c>
      <c r="L314" t="s">
        <v>1043</v>
      </c>
      <c r="M314">
        <v>2023</v>
      </c>
      <c r="N314" t="s">
        <v>1075</v>
      </c>
      <c r="O314">
        <v>4</v>
      </c>
    </row>
    <row r="315" spans="1:15" x14ac:dyDescent="0.25">
      <c r="A315" t="s">
        <v>341</v>
      </c>
      <c r="B315" t="s">
        <v>14</v>
      </c>
      <c r="C315">
        <v>23</v>
      </c>
      <c r="D315" t="s">
        <v>11</v>
      </c>
      <c r="E315">
        <v>105</v>
      </c>
      <c r="F315">
        <v>4.8</v>
      </c>
      <c r="G315" s="8">
        <v>45021</v>
      </c>
      <c r="H315">
        <v>2023</v>
      </c>
      <c r="I315">
        <v>2</v>
      </c>
      <c r="J315">
        <v>4</v>
      </c>
      <c r="K315" t="s">
        <v>1049</v>
      </c>
      <c r="L315" t="s">
        <v>1043</v>
      </c>
      <c r="M315">
        <v>2023</v>
      </c>
      <c r="N315" t="s">
        <v>1077</v>
      </c>
      <c r="O315">
        <v>5</v>
      </c>
    </row>
    <row r="316" spans="1:15" x14ac:dyDescent="0.25">
      <c r="A316" t="s">
        <v>342</v>
      </c>
      <c r="B316" t="s">
        <v>19</v>
      </c>
      <c r="C316">
        <v>124</v>
      </c>
      <c r="D316" t="s">
        <v>9</v>
      </c>
      <c r="E316">
        <v>176</v>
      </c>
      <c r="F316">
        <v>3.9</v>
      </c>
      <c r="G316" s="8">
        <v>45022</v>
      </c>
      <c r="H316">
        <v>2023</v>
      </c>
      <c r="I316">
        <v>2</v>
      </c>
      <c r="J316">
        <v>4</v>
      </c>
      <c r="K316" t="s">
        <v>1049</v>
      </c>
      <c r="L316" t="s">
        <v>1044</v>
      </c>
      <c r="M316">
        <v>2023</v>
      </c>
      <c r="N316" t="s">
        <v>1075</v>
      </c>
      <c r="O316">
        <v>4</v>
      </c>
    </row>
    <row r="317" spans="1:15" x14ac:dyDescent="0.25">
      <c r="A317" t="s">
        <v>343</v>
      </c>
      <c r="B317" t="s">
        <v>23</v>
      </c>
      <c r="C317">
        <v>107</v>
      </c>
      <c r="D317" t="s">
        <v>9</v>
      </c>
      <c r="E317">
        <v>115</v>
      </c>
      <c r="F317">
        <v>3.8</v>
      </c>
      <c r="G317" s="8">
        <v>45022</v>
      </c>
      <c r="H317">
        <v>2023</v>
      </c>
      <c r="I317">
        <v>2</v>
      </c>
      <c r="J317">
        <v>4</v>
      </c>
      <c r="K317" t="s">
        <v>1049</v>
      </c>
      <c r="L317" t="s">
        <v>1044</v>
      </c>
      <c r="M317">
        <v>2023</v>
      </c>
      <c r="N317" t="s">
        <v>1074</v>
      </c>
      <c r="O317">
        <v>4</v>
      </c>
    </row>
    <row r="318" spans="1:15" x14ac:dyDescent="0.25">
      <c r="A318" t="s">
        <v>344</v>
      </c>
      <c r="B318" t="s">
        <v>7</v>
      </c>
      <c r="C318">
        <v>60</v>
      </c>
      <c r="D318" t="s">
        <v>10</v>
      </c>
      <c r="E318">
        <v>116</v>
      </c>
      <c r="F318">
        <v>3.9</v>
      </c>
      <c r="G318" s="8">
        <v>45022</v>
      </c>
      <c r="H318">
        <v>2023</v>
      </c>
      <c r="I318">
        <v>2</v>
      </c>
      <c r="J318">
        <v>4</v>
      </c>
      <c r="K318" t="s">
        <v>1049</v>
      </c>
      <c r="L318" t="s">
        <v>1044</v>
      </c>
      <c r="M318">
        <v>2023</v>
      </c>
      <c r="N318" t="s">
        <v>1076</v>
      </c>
      <c r="O318">
        <v>4</v>
      </c>
    </row>
    <row r="319" spans="1:15" x14ac:dyDescent="0.25">
      <c r="A319" t="s">
        <v>345</v>
      </c>
      <c r="B319" t="s">
        <v>7</v>
      </c>
      <c r="C319">
        <v>158</v>
      </c>
      <c r="D319" t="s">
        <v>6</v>
      </c>
      <c r="E319">
        <v>100</v>
      </c>
      <c r="F319">
        <v>4.0999999999999996</v>
      </c>
      <c r="G319" s="8">
        <v>45022</v>
      </c>
      <c r="H319">
        <v>2023</v>
      </c>
      <c r="I319">
        <v>2</v>
      </c>
      <c r="J319">
        <v>4</v>
      </c>
      <c r="K319" t="s">
        <v>1049</v>
      </c>
      <c r="L319" t="s">
        <v>1044</v>
      </c>
      <c r="M319">
        <v>2023</v>
      </c>
      <c r="N319" t="s">
        <v>1075</v>
      </c>
      <c r="O319">
        <v>4</v>
      </c>
    </row>
    <row r="320" spans="1:15" x14ac:dyDescent="0.25">
      <c r="A320" t="s">
        <v>346</v>
      </c>
      <c r="B320" t="s">
        <v>22</v>
      </c>
      <c r="C320">
        <v>110</v>
      </c>
      <c r="D320" t="s">
        <v>6</v>
      </c>
      <c r="E320">
        <v>36</v>
      </c>
      <c r="F320">
        <v>2.2000000000000002</v>
      </c>
      <c r="G320" s="8">
        <v>45023</v>
      </c>
      <c r="H320">
        <v>2023</v>
      </c>
      <c r="I320">
        <v>2</v>
      </c>
      <c r="J320">
        <v>4</v>
      </c>
      <c r="K320" t="s">
        <v>1049</v>
      </c>
      <c r="L320" t="s">
        <v>1045</v>
      </c>
      <c r="M320">
        <v>2023</v>
      </c>
      <c r="N320" t="s">
        <v>1074</v>
      </c>
      <c r="O320">
        <v>2</v>
      </c>
    </row>
    <row r="321" spans="1:15" x14ac:dyDescent="0.25">
      <c r="A321" t="s">
        <v>347</v>
      </c>
      <c r="B321" t="s">
        <v>17</v>
      </c>
      <c r="C321">
        <v>70</v>
      </c>
      <c r="D321" t="s">
        <v>6</v>
      </c>
      <c r="E321">
        <v>114</v>
      </c>
      <c r="F321">
        <v>5</v>
      </c>
      <c r="G321" s="8">
        <v>45023</v>
      </c>
      <c r="H321">
        <v>2023</v>
      </c>
      <c r="I321">
        <v>2</v>
      </c>
      <c r="J321">
        <v>4</v>
      </c>
      <c r="K321" t="s">
        <v>1049</v>
      </c>
      <c r="L321" t="s">
        <v>1045</v>
      </c>
      <c r="M321">
        <v>2023</v>
      </c>
      <c r="N321" t="s">
        <v>1074</v>
      </c>
      <c r="O321">
        <v>5</v>
      </c>
    </row>
    <row r="322" spans="1:15" x14ac:dyDescent="0.25">
      <c r="A322" t="s">
        <v>348</v>
      </c>
      <c r="B322" t="s">
        <v>17</v>
      </c>
      <c r="C322">
        <v>150</v>
      </c>
      <c r="D322" t="s">
        <v>10</v>
      </c>
      <c r="E322">
        <v>24</v>
      </c>
      <c r="F322">
        <v>3.8</v>
      </c>
      <c r="G322" s="8">
        <v>45023</v>
      </c>
      <c r="H322">
        <v>2023</v>
      </c>
      <c r="I322">
        <v>2</v>
      </c>
      <c r="J322">
        <v>4</v>
      </c>
      <c r="K322" t="s">
        <v>1049</v>
      </c>
      <c r="L322" t="s">
        <v>1045</v>
      </c>
      <c r="M322">
        <v>2023</v>
      </c>
      <c r="N322" t="s">
        <v>1075</v>
      </c>
      <c r="O322">
        <v>4</v>
      </c>
    </row>
    <row r="323" spans="1:15" x14ac:dyDescent="0.25">
      <c r="A323" t="s">
        <v>349</v>
      </c>
      <c r="B323" t="s">
        <v>15</v>
      </c>
      <c r="C323">
        <v>36</v>
      </c>
      <c r="D323" t="s">
        <v>9</v>
      </c>
      <c r="E323">
        <v>135</v>
      </c>
      <c r="F323">
        <v>4.5999999999999996</v>
      </c>
      <c r="G323" s="8">
        <v>45023</v>
      </c>
      <c r="H323">
        <v>2023</v>
      </c>
      <c r="I323">
        <v>2</v>
      </c>
      <c r="J323">
        <v>4</v>
      </c>
      <c r="K323" t="s">
        <v>1049</v>
      </c>
      <c r="L323" t="s">
        <v>1045</v>
      </c>
      <c r="M323">
        <v>2023</v>
      </c>
      <c r="N323" t="s">
        <v>1076</v>
      </c>
      <c r="O323">
        <v>5</v>
      </c>
    </row>
    <row r="324" spans="1:15" x14ac:dyDescent="0.25">
      <c r="A324" t="s">
        <v>350</v>
      </c>
      <c r="B324" t="s">
        <v>19</v>
      </c>
      <c r="C324">
        <v>74</v>
      </c>
      <c r="D324" t="s">
        <v>9</v>
      </c>
      <c r="E324">
        <v>30</v>
      </c>
      <c r="F324">
        <v>4</v>
      </c>
      <c r="G324" s="8">
        <v>45023</v>
      </c>
      <c r="H324">
        <v>2023</v>
      </c>
      <c r="I324">
        <v>2</v>
      </c>
      <c r="J324">
        <v>4</v>
      </c>
      <c r="K324" t="s">
        <v>1049</v>
      </c>
      <c r="L324" t="s">
        <v>1045</v>
      </c>
      <c r="M324">
        <v>2023</v>
      </c>
      <c r="N324" t="s">
        <v>1074</v>
      </c>
      <c r="O324">
        <v>4</v>
      </c>
    </row>
    <row r="325" spans="1:15" x14ac:dyDescent="0.25">
      <c r="A325" t="s">
        <v>351</v>
      </c>
      <c r="B325" t="s">
        <v>12</v>
      </c>
      <c r="C325">
        <v>75</v>
      </c>
      <c r="D325" t="s">
        <v>9</v>
      </c>
      <c r="E325">
        <v>84</v>
      </c>
      <c r="F325">
        <v>2.8</v>
      </c>
      <c r="G325" s="8">
        <v>45023</v>
      </c>
      <c r="H325">
        <v>2023</v>
      </c>
      <c r="I325">
        <v>2</v>
      </c>
      <c r="J325">
        <v>4</v>
      </c>
      <c r="K325" t="s">
        <v>1049</v>
      </c>
      <c r="L325" t="s">
        <v>1045</v>
      </c>
      <c r="M325">
        <v>2023</v>
      </c>
      <c r="N325" t="s">
        <v>1074</v>
      </c>
      <c r="O325">
        <v>3</v>
      </c>
    </row>
    <row r="326" spans="1:15" x14ac:dyDescent="0.25">
      <c r="A326" t="s">
        <v>352</v>
      </c>
      <c r="B326" t="s">
        <v>5</v>
      </c>
      <c r="C326">
        <v>70</v>
      </c>
      <c r="D326" t="s">
        <v>13</v>
      </c>
      <c r="E326">
        <v>42</v>
      </c>
      <c r="F326">
        <v>4.4000000000000004</v>
      </c>
      <c r="G326" s="8">
        <v>45023</v>
      </c>
      <c r="H326">
        <v>2023</v>
      </c>
      <c r="I326">
        <v>2</v>
      </c>
      <c r="J326">
        <v>4</v>
      </c>
      <c r="K326" t="s">
        <v>1049</v>
      </c>
      <c r="L326" t="s">
        <v>1045</v>
      </c>
      <c r="M326">
        <v>2023</v>
      </c>
      <c r="N326" t="s">
        <v>1074</v>
      </c>
      <c r="O326">
        <v>4</v>
      </c>
    </row>
    <row r="327" spans="1:15" x14ac:dyDescent="0.25">
      <c r="A327" t="s">
        <v>353</v>
      </c>
      <c r="B327" t="s">
        <v>22</v>
      </c>
      <c r="C327">
        <v>23</v>
      </c>
      <c r="D327" t="s">
        <v>6</v>
      </c>
      <c r="E327">
        <v>117</v>
      </c>
      <c r="F327">
        <v>2.4</v>
      </c>
      <c r="G327" s="8">
        <v>45023</v>
      </c>
      <c r="H327">
        <v>2023</v>
      </c>
      <c r="I327">
        <v>2</v>
      </c>
      <c r="J327">
        <v>4</v>
      </c>
      <c r="K327" t="s">
        <v>1049</v>
      </c>
      <c r="L327" t="s">
        <v>1045</v>
      </c>
      <c r="M327">
        <v>2023</v>
      </c>
      <c r="N327" t="s">
        <v>1077</v>
      </c>
      <c r="O327">
        <v>2</v>
      </c>
    </row>
    <row r="328" spans="1:15" x14ac:dyDescent="0.25">
      <c r="A328" t="s">
        <v>354</v>
      </c>
      <c r="B328" t="s">
        <v>18</v>
      </c>
      <c r="C328">
        <v>104</v>
      </c>
      <c r="D328" t="s">
        <v>11</v>
      </c>
      <c r="E328">
        <v>164</v>
      </c>
      <c r="F328">
        <v>4</v>
      </c>
      <c r="G328" s="8">
        <v>45023</v>
      </c>
      <c r="H328">
        <v>2023</v>
      </c>
      <c r="I328">
        <v>2</v>
      </c>
      <c r="J328">
        <v>4</v>
      </c>
      <c r="K328" t="s">
        <v>1049</v>
      </c>
      <c r="L328" t="s">
        <v>1045</v>
      </c>
      <c r="M328">
        <v>2023</v>
      </c>
      <c r="N328" t="s">
        <v>1074</v>
      </c>
      <c r="O328">
        <v>4</v>
      </c>
    </row>
    <row r="329" spans="1:15" x14ac:dyDescent="0.25">
      <c r="A329" t="s">
        <v>355</v>
      </c>
      <c r="B329" t="s">
        <v>17</v>
      </c>
      <c r="C329">
        <v>95</v>
      </c>
      <c r="D329" t="s">
        <v>13</v>
      </c>
      <c r="E329">
        <v>123</v>
      </c>
      <c r="F329">
        <v>4.4000000000000004</v>
      </c>
      <c r="G329" s="8">
        <v>45024</v>
      </c>
      <c r="H329">
        <v>2023</v>
      </c>
      <c r="I329">
        <v>2</v>
      </c>
      <c r="J329">
        <v>4</v>
      </c>
      <c r="K329" t="s">
        <v>1049</v>
      </c>
      <c r="L329" t="s">
        <v>1046</v>
      </c>
      <c r="M329">
        <v>2023</v>
      </c>
      <c r="N329" t="s">
        <v>1074</v>
      </c>
      <c r="O329">
        <v>4</v>
      </c>
    </row>
    <row r="330" spans="1:15" x14ac:dyDescent="0.25">
      <c r="A330" t="s">
        <v>356</v>
      </c>
      <c r="B330" t="s">
        <v>8</v>
      </c>
      <c r="C330">
        <v>49</v>
      </c>
      <c r="D330" t="s">
        <v>10</v>
      </c>
      <c r="E330">
        <v>172</v>
      </c>
      <c r="F330">
        <v>2.9</v>
      </c>
      <c r="G330" s="8">
        <v>45024</v>
      </c>
      <c r="H330">
        <v>2023</v>
      </c>
      <c r="I330">
        <v>2</v>
      </c>
      <c r="J330">
        <v>4</v>
      </c>
      <c r="K330" t="s">
        <v>1049</v>
      </c>
      <c r="L330" t="s">
        <v>1046</v>
      </c>
      <c r="M330">
        <v>2023</v>
      </c>
      <c r="N330" t="s">
        <v>1076</v>
      </c>
      <c r="O330">
        <v>3</v>
      </c>
    </row>
    <row r="331" spans="1:15" x14ac:dyDescent="0.25">
      <c r="A331" t="s">
        <v>357</v>
      </c>
      <c r="B331" t="s">
        <v>16</v>
      </c>
      <c r="C331">
        <v>8</v>
      </c>
      <c r="D331" t="s">
        <v>6</v>
      </c>
      <c r="E331">
        <v>20</v>
      </c>
      <c r="F331">
        <v>4.8</v>
      </c>
      <c r="G331" s="8">
        <v>45024</v>
      </c>
      <c r="H331">
        <v>2023</v>
      </c>
      <c r="I331">
        <v>2</v>
      </c>
      <c r="J331">
        <v>4</v>
      </c>
      <c r="K331" t="s">
        <v>1049</v>
      </c>
      <c r="L331" t="s">
        <v>1046</v>
      </c>
      <c r="M331">
        <v>2023</v>
      </c>
      <c r="N331" t="s">
        <v>1078</v>
      </c>
      <c r="O331">
        <v>5</v>
      </c>
    </row>
    <row r="332" spans="1:15" x14ac:dyDescent="0.25">
      <c r="A332" t="s">
        <v>358</v>
      </c>
      <c r="B332" t="s">
        <v>17</v>
      </c>
      <c r="C332">
        <v>157</v>
      </c>
      <c r="D332" t="s">
        <v>10</v>
      </c>
      <c r="E332">
        <v>72</v>
      </c>
      <c r="F332">
        <v>3.7</v>
      </c>
      <c r="G332" s="8">
        <v>45024</v>
      </c>
      <c r="H332">
        <v>2023</v>
      </c>
      <c r="I332">
        <v>2</v>
      </c>
      <c r="J332">
        <v>4</v>
      </c>
      <c r="K332" t="s">
        <v>1049</v>
      </c>
      <c r="L332" t="s">
        <v>1046</v>
      </c>
      <c r="M332">
        <v>2023</v>
      </c>
      <c r="N332" t="s">
        <v>1075</v>
      </c>
      <c r="O332">
        <v>4</v>
      </c>
    </row>
    <row r="333" spans="1:15" x14ac:dyDescent="0.25">
      <c r="A333" t="s">
        <v>359</v>
      </c>
      <c r="B333" t="s">
        <v>23</v>
      </c>
      <c r="C333">
        <v>74</v>
      </c>
      <c r="D333" t="s">
        <v>9</v>
      </c>
      <c r="E333">
        <v>32</v>
      </c>
      <c r="F333">
        <v>4.8</v>
      </c>
      <c r="G333" s="8">
        <v>45024</v>
      </c>
      <c r="H333">
        <v>2023</v>
      </c>
      <c r="I333">
        <v>2</v>
      </c>
      <c r="J333">
        <v>4</v>
      </c>
      <c r="K333" t="s">
        <v>1049</v>
      </c>
      <c r="L333" t="s">
        <v>1046</v>
      </c>
      <c r="M333">
        <v>2023</v>
      </c>
      <c r="N333" t="s">
        <v>1074</v>
      </c>
      <c r="O333">
        <v>5</v>
      </c>
    </row>
    <row r="334" spans="1:15" x14ac:dyDescent="0.25">
      <c r="A334" t="s">
        <v>360</v>
      </c>
      <c r="B334" t="s">
        <v>22</v>
      </c>
      <c r="C334">
        <v>72</v>
      </c>
      <c r="D334" t="s">
        <v>13</v>
      </c>
      <c r="E334">
        <v>140</v>
      </c>
      <c r="F334">
        <v>3.2</v>
      </c>
      <c r="G334" s="8">
        <v>45024</v>
      </c>
      <c r="H334">
        <v>2023</v>
      </c>
      <c r="I334">
        <v>2</v>
      </c>
      <c r="J334">
        <v>4</v>
      </c>
      <c r="K334" t="s">
        <v>1049</v>
      </c>
      <c r="L334" t="s">
        <v>1046</v>
      </c>
      <c r="M334">
        <v>2023</v>
      </c>
      <c r="N334" t="s">
        <v>1074</v>
      </c>
      <c r="O334">
        <v>3</v>
      </c>
    </row>
    <row r="335" spans="1:15" x14ac:dyDescent="0.25">
      <c r="A335" t="s">
        <v>361</v>
      </c>
      <c r="B335" t="s">
        <v>23</v>
      </c>
      <c r="C335">
        <v>79</v>
      </c>
      <c r="D335" t="s">
        <v>9</v>
      </c>
      <c r="E335">
        <v>120</v>
      </c>
      <c r="F335">
        <v>4.9000000000000004</v>
      </c>
      <c r="G335" s="8">
        <v>45025</v>
      </c>
      <c r="H335">
        <v>2023</v>
      </c>
      <c r="I335">
        <v>2</v>
      </c>
      <c r="J335">
        <v>4</v>
      </c>
      <c r="K335" t="s">
        <v>1049</v>
      </c>
      <c r="L335" t="s">
        <v>1040</v>
      </c>
      <c r="M335">
        <v>2023</v>
      </c>
      <c r="N335" t="s">
        <v>1074</v>
      </c>
      <c r="O335">
        <v>5</v>
      </c>
    </row>
    <row r="336" spans="1:15" x14ac:dyDescent="0.25">
      <c r="A336" t="s">
        <v>362</v>
      </c>
      <c r="B336" t="s">
        <v>19</v>
      </c>
      <c r="C336">
        <v>23</v>
      </c>
      <c r="D336" t="s">
        <v>9</v>
      </c>
      <c r="E336">
        <v>86</v>
      </c>
      <c r="F336">
        <v>2.2000000000000002</v>
      </c>
      <c r="G336" s="8">
        <v>45025</v>
      </c>
      <c r="H336">
        <v>2023</v>
      </c>
      <c r="I336">
        <v>2</v>
      </c>
      <c r="J336">
        <v>4</v>
      </c>
      <c r="K336" t="s">
        <v>1049</v>
      </c>
      <c r="L336" t="s">
        <v>1040</v>
      </c>
      <c r="M336">
        <v>2023</v>
      </c>
      <c r="N336" t="s">
        <v>1077</v>
      </c>
      <c r="O336">
        <v>2</v>
      </c>
    </row>
    <row r="337" spans="1:15" x14ac:dyDescent="0.25">
      <c r="A337" t="s">
        <v>363</v>
      </c>
      <c r="B337" t="s">
        <v>12</v>
      </c>
      <c r="C337">
        <v>69</v>
      </c>
      <c r="D337" t="s">
        <v>9</v>
      </c>
      <c r="E337">
        <v>132</v>
      </c>
      <c r="F337">
        <v>5</v>
      </c>
      <c r="G337" s="8">
        <v>45025</v>
      </c>
      <c r="H337">
        <v>2023</v>
      </c>
      <c r="I337">
        <v>2</v>
      </c>
      <c r="J337">
        <v>4</v>
      </c>
      <c r="K337" t="s">
        <v>1049</v>
      </c>
      <c r="L337" t="s">
        <v>1040</v>
      </c>
      <c r="M337">
        <v>2023</v>
      </c>
      <c r="N337" t="s">
        <v>1074</v>
      </c>
      <c r="O337">
        <v>5</v>
      </c>
    </row>
    <row r="338" spans="1:15" x14ac:dyDescent="0.25">
      <c r="A338" t="s">
        <v>364</v>
      </c>
      <c r="B338" t="s">
        <v>7</v>
      </c>
      <c r="C338">
        <v>64</v>
      </c>
      <c r="D338" t="s">
        <v>9</v>
      </c>
      <c r="E338">
        <v>80</v>
      </c>
      <c r="F338">
        <v>3.3</v>
      </c>
      <c r="G338" s="8">
        <v>45025</v>
      </c>
      <c r="H338">
        <v>2023</v>
      </c>
      <c r="I338">
        <v>2</v>
      </c>
      <c r="J338">
        <v>4</v>
      </c>
      <c r="K338" t="s">
        <v>1049</v>
      </c>
      <c r="L338" t="s">
        <v>1040</v>
      </c>
      <c r="M338">
        <v>2023</v>
      </c>
      <c r="N338" t="s">
        <v>1074</v>
      </c>
      <c r="O338">
        <v>3</v>
      </c>
    </row>
    <row r="339" spans="1:15" x14ac:dyDescent="0.25">
      <c r="A339" t="s">
        <v>365</v>
      </c>
      <c r="B339" t="s">
        <v>24</v>
      </c>
      <c r="C339">
        <v>47</v>
      </c>
      <c r="D339" t="s">
        <v>10</v>
      </c>
      <c r="E339">
        <v>132</v>
      </c>
      <c r="F339">
        <v>3.7</v>
      </c>
      <c r="G339" s="8">
        <v>45025</v>
      </c>
      <c r="H339">
        <v>2023</v>
      </c>
      <c r="I339">
        <v>2</v>
      </c>
      <c r="J339">
        <v>4</v>
      </c>
      <c r="K339" t="s">
        <v>1049</v>
      </c>
      <c r="L339" t="s">
        <v>1040</v>
      </c>
      <c r="M339">
        <v>2023</v>
      </c>
      <c r="N339" t="s">
        <v>1076</v>
      </c>
      <c r="O339">
        <v>4</v>
      </c>
    </row>
    <row r="340" spans="1:15" x14ac:dyDescent="0.25">
      <c r="A340" t="s">
        <v>366</v>
      </c>
      <c r="B340" t="s">
        <v>23</v>
      </c>
      <c r="C340">
        <v>55</v>
      </c>
      <c r="D340" t="s">
        <v>13</v>
      </c>
      <c r="E340">
        <v>27</v>
      </c>
      <c r="F340">
        <v>3.7</v>
      </c>
      <c r="G340" s="8">
        <v>45025</v>
      </c>
      <c r="H340">
        <v>2023</v>
      </c>
      <c r="I340">
        <v>2</v>
      </c>
      <c r="J340">
        <v>4</v>
      </c>
      <c r="K340" t="s">
        <v>1049</v>
      </c>
      <c r="L340" t="s">
        <v>1040</v>
      </c>
      <c r="M340">
        <v>2023</v>
      </c>
      <c r="N340" t="s">
        <v>1076</v>
      </c>
      <c r="O340">
        <v>4</v>
      </c>
    </row>
    <row r="341" spans="1:15" x14ac:dyDescent="0.25">
      <c r="A341" t="s">
        <v>367</v>
      </c>
      <c r="B341" t="s">
        <v>18</v>
      </c>
      <c r="C341">
        <v>104</v>
      </c>
      <c r="D341" t="s">
        <v>13</v>
      </c>
      <c r="E341">
        <v>68</v>
      </c>
      <c r="F341">
        <v>3.6</v>
      </c>
      <c r="G341" s="8">
        <v>45026</v>
      </c>
      <c r="H341">
        <v>2023</v>
      </c>
      <c r="I341">
        <v>2</v>
      </c>
      <c r="J341">
        <v>4</v>
      </c>
      <c r="K341" t="s">
        <v>1049</v>
      </c>
      <c r="L341" t="s">
        <v>1041</v>
      </c>
      <c r="M341">
        <v>2023</v>
      </c>
      <c r="N341" t="s">
        <v>1074</v>
      </c>
      <c r="O341">
        <v>4</v>
      </c>
    </row>
    <row r="342" spans="1:15" x14ac:dyDescent="0.25">
      <c r="A342" t="s">
        <v>368</v>
      </c>
      <c r="B342" t="s">
        <v>24</v>
      </c>
      <c r="C342">
        <v>116</v>
      </c>
      <c r="D342" t="s">
        <v>9</v>
      </c>
      <c r="E342">
        <v>22</v>
      </c>
      <c r="F342">
        <v>4.7</v>
      </c>
      <c r="G342" s="8">
        <v>45026</v>
      </c>
      <c r="H342">
        <v>2023</v>
      </c>
      <c r="I342">
        <v>2</v>
      </c>
      <c r="J342">
        <v>4</v>
      </c>
      <c r="K342" t="s">
        <v>1049</v>
      </c>
      <c r="L342" t="s">
        <v>1041</v>
      </c>
      <c r="M342">
        <v>2023</v>
      </c>
      <c r="N342" t="s">
        <v>1074</v>
      </c>
      <c r="O342">
        <v>5</v>
      </c>
    </row>
    <row r="343" spans="1:15" x14ac:dyDescent="0.25">
      <c r="A343" t="s">
        <v>369</v>
      </c>
      <c r="B343" t="s">
        <v>19</v>
      </c>
      <c r="C343">
        <v>99</v>
      </c>
      <c r="D343" t="s">
        <v>13</v>
      </c>
      <c r="E343">
        <v>42</v>
      </c>
      <c r="F343">
        <v>3.1</v>
      </c>
      <c r="G343" s="8">
        <v>45026</v>
      </c>
      <c r="H343">
        <v>2023</v>
      </c>
      <c r="I343">
        <v>2</v>
      </c>
      <c r="J343">
        <v>4</v>
      </c>
      <c r="K343" t="s">
        <v>1049</v>
      </c>
      <c r="L343" t="s">
        <v>1041</v>
      </c>
      <c r="M343">
        <v>2023</v>
      </c>
      <c r="N343" t="s">
        <v>1074</v>
      </c>
      <c r="O343">
        <v>3</v>
      </c>
    </row>
    <row r="344" spans="1:15" x14ac:dyDescent="0.25">
      <c r="A344" t="s">
        <v>370</v>
      </c>
      <c r="B344" t="s">
        <v>18</v>
      </c>
      <c r="C344">
        <v>84</v>
      </c>
      <c r="D344" t="s">
        <v>13</v>
      </c>
      <c r="E344">
        <v>38</v>
      </c>
      <c r="F344">
        <v>3.3</v>
      </c>
      <c r="G344" s="8">
        <v>45027</v>
      </c>
      <c r="H344">
        <v>2023</v>
      </c>
      <c r="I344">
        <v>2</v>
      </c>
      <c r="J344">
        <v>4</v>
      </c>
      <c r="K344" t="s">
        <v>1049</v>
      </c>
      <c r="L344" t="s">
        <v>1042</v>
      </c>
      <c r="M344">
        <v>2023</v>
      </c>
      <c r="N344" t="s">
        <v>1074</v>
      </c>
      <c r="O344">
        <v>3</v>
      </c>
    </row>
    <row r="345" spans="1:15" x14ac:dyDescent="0.25">
      <c r="A345" t="s">
        <v>371</v>
      </c>
      <c r="B345" t="s">
        <v>16</v>
      </c>
      <c r="C345">
        <v>159</v>
      </c>
      <c r="D345" t="s">
        <v>13</v>
      </c>
      <c r="E345">
        <v>42</v>
      </c>
      <c r="F345">
        <v>4.5</v>
      </c>
      <c r="G345" s="8">
        <v>45027</v>
      </c>
      <c r="H345">
        <v>2023</v>
      </c>
      <c r="I345">
        <v>2</v>
      </c>
      <c r="J345">
        <v>4</v>
      </c>
      <c r="K345" t="s">
        <v>1049</v>
      </c>
      <c r="L345" t="s">
        <v>1042</v>
      </c>
      <c r="M345">
        <v>2023</v>
      </c>
      <c r="N345" t="s">
        <v>1075</v>
      </c>
      <c r="O345">
        <v>4</v>
      </c>
    </row>
    <row r="346" spans="1:15" x14ac:dyDescent="0.25">
      <c r="A346" t="s">
        <v>372</v>
      </c>
      <c r="B346" t="s">
        <v>15</v>
      </c>
      <c r="C346">
        <v>25</v>
      </c>
      <c r="D346" t="s">
        <v>10</v>
      </c>
      <c r="E346">
        <v>75</v>
      </c>
      <c r="F346">
        <v>3.9</v>
      </c>
      <c r="G346" s="8">
        <v>45027</v>
      </c>
      <c r="H346">
        <v>2023</v>
      </c>
      <c r="I346">
        <v>2</v>
      </c>
      <c r="J346">
        <v>4</v>
      </c>
      <c r="K346" t="s">
        <v>1049</v>
      </c>
      <c r="L346" t="s">
        <v>1042</v>
      </c>
      <c r="M346">
        <v>2023</v>
      </c>
      <c r="N346" t="s">
        <v>1077</v>
      </c>
      <c r="O346">
        <v>4</v>
      </c>
    </row>
    <row r="347" spans="1:15" x14ac:dyDescent="0.25">
      <c r="A347" t="s">
        <v>373</v>
      </c>
      <c r="B347" t="s">
        <v>16</v>
      </c>
      <c r="C347">
        <v>53</v>
      </c>
      <c r="D347" t="s">
        <v>6</v>
      </c>
      <c r="E347">
        <v>23</v>
      </c>
      <c r="F347">
        <v>4.9000000000000004</v>
      </c>
      <c r="G347" s="8">
        <v>45028</v>
      </c>
      <c r="H347">
        <v>2023</v>
      </c>
      <c r="I347">
        <v>2</v>
      </c>
      <c r="J347">
        <v>4</v>
      </c>
      <c r="K347" t="s">
        <v>1049</v>
      </c>
      <c r="L347" t="s">
        <v>1043</v>
      </c>
      <c r="M347">
        <v>2023</v>
      </c>
      <c r="N347" t="s">
        <v>1076</v>
      </c>
      <c r="O347">
        <v>5</v>
      </c>
    </row>
    <row r="348" spans="1:15" x14ac:dyDescent="0.25">
      <c r="A348" t="s">
        <v>374</v>
      </c>
      <c r="B348" t="s">
        <v>16</v>
      </c>
      <c r="C348">
        <v>89</v>
      </c>
      <c r="D348" t="s">
        <v>10</v>
      </c>
      <c r="E348">
        <v>200</v>
      </c>
      <c r="F348">
        <v>4.8</v>
      </c>
      <c r="G348" s="8">
        <v>45028</v>
      </c>
      <c r="H348">
        <v>2023</v>
      </c>
      <c r="I348">
        <v>2</v>
      </c>
      <c r="J348">
        <v>4</v>
      </c>
      <c r="K348" t="s">
        <v>1049</v>
      </c>
      <c r="L348" t="s">
        <v>1043</v>
      </c>
      <c r="M348">
        <v>2023</v>
      </c>
      <c r="N348" t="s">
        <v>1074</v>
      </c>
      <c r="O348">
        <v>5</v>
      </c>
    </row>
    <row r="349" spans="1:15" x14ac:dyDescent="0.25">
      <c r="A349" t="s">
        <v>375</v>
      </c>
      <c r="B349" t="s">
        <v>21</v>
      </c>
      <c r="C349">
        <v>73</v>
      </c>
      <c r="D349" t="s">
        <v>9</v>
      </c>
      <c r="E349">
        <v>45</v>
      </c>
      <c r="F349">
        <v>3.6</v>
      </c>
      <c r="G349" s="8">
        <v>45029</v>
      </c>
      <c r="H349">
        <v>2023</v>
      </c>
      <c r="I349">
        <v>2</v>
      </c>
      <c r="J349">
        <v>4</v>
      </c>
      <c r="K349" t="s">
        <v>1049</v>
      </c>
      <c r="L349" t="s">
        <v>1044</v>
      </c>
      <c r="M349">
        <v>2023</v>
      </c>
      <c r="N349" t="s">
        <v>1074</v>
      </c>
      <c r="O349">
        <v>4</v>
      </c>
    </row>
    <row r="350" spans="1:15" x14ac:dyDescent="0.25">
      <c r="A350" t="s">
        <v>376</v>
      </c>
      <c r="B350" t="s">
        <v>19</v>
      </c>
      <c r="C350">
        <v>50</v>
      </c>
      <c r="D350" t="s">
        <v>9</v>
      </c>
      <c r="E350">
        <v>105</v>
      </c>
      <c r="F350">
        <v>3.5</v>
      </c>
      <c r="G350" s="8">
        <v>45029</v>
      </c>
      <c r="H350">
        <v>2023</v>
      </c>
      <c r="I350">
        <v>2</v>
      </c>
      <c r="J350">
        <v>4</v>
      </c>
      <c r="K350" t="s">
        <v>1049</v>
      </c>
      <c r="L350" t="s">
        <v>1044</v>
      </c>
      <c r="M350">
        <v>2023</v>
      </c>
      <c r="N350" t="s">
        <v>1076</v>
      </c>
      <c r="O350">
        <v>4</v>
      </c>
    </row>
    <row r="351" spans="1:15" x14ac:dyDescent="0.25">
      <c r="A351" t="s">
        <v>377</v>
      </c>
      <c r="B351" t="s">
        <v>8</v>
      </c>
      <c r="C351">
        <v>98</v>
      </c>
      <c r="D351" t="s">
        <v>9</v>
      </c>
      <c r="E351">
        <v>22</v>
      </c>
      <c r="F351">
        <v>3.8</v>
      </c>
      <c r="G351" s="8">
        <v>45029</v>
      </c>
      <c r="H351">
        <v>2023</v>
      </c>
      <c r="I351">
        <v>2</v>
      </c>
      <c r="J351">
        <v>4</v>
      </c>
      <c r="K351" t="s">
        <v>1049</v>
      </c>
      <c r="L351" t="s">
        <v>1044</v>
      </c>
      <c r="M351">
        <v>2023</v>
      </c>
      <c r="N351" t="s">
        <v>1074</v>
      </c>
      <c r="O351">
        <v>4</v>
      </c>
    </row>
    <row r="352" spans="1:15" x14ac:dyDescent="0.25">
      <c r="A352" t="s">
        <v>378</v>
      </c>
      <c r="B352" t="s">
        <v>14</v>
      </c>
      <c r="C352">
        <v>114</v>
      </c>
      <c r="D352" t="s">
        <v>13</v>
      </c>
      <c r="E352">
        <v>126</v>
      </c>
      <c r="F352">
        <v>4.4000000000000004</v>
      </c>
      <c r="G352" s="8">
        <v>45030</v>
      </c>
      <c r="H352">
        <v>2023</v>
      </c>
      <c r="I352">
        <v>2</v>
      </c>
      <c r="J352">
        <v>4</v>
      </c>
      <c r="K352" t="s">
        <v>1049</v>
      </c>
      <c r="L352" t="s">
        <v>1045</v>
      </c>
      <c r="M352">
        <v>2023</v>
      </c>
      <c r="N352" t="s">
        <v>1074</v>
      </c>
      <c r="O352">
        <v>4</v>
      </c>
    </row>
    <row r="353" spans="1:15" x14ac:dyDescent="0.25">
      <c r="A353" t="s">
        <v>379</v>
      </c>
      <c r="B353" t="s">
        <v>7</v>
      </c>
      <c r="C353">
        <v>67</v>
      </c>
      <c r="D353" t="s">
        <v>13</v>
      </c>
      <c r="E353">
        <v>35</v>
      </c>
      <c r="F353">
        <v>3</v>
      </c>
      <c r="G353" s="8">
        <v>45030</v>
      </c>
      <c r="H353">
        <v>2023</v>
      </c>
      <c r="I353">
        <v>2</v>
      </c>
      <c r="J353">
        <v>4</v>
      </c>
      <c r="K353" t="s">
        <v>1049</v>
      </c>
      <c r="L353" t="s">
        <v>1045</v>
      </c>
      <c r="M353">
        <v>2023</v>
      </c>
      <c r="N353" t="s">
        <v>1074</v>
      </c>
      <c r="O353">
        <v>3</v>
      </c>
    </row>
    <row r="354" spans="1:15" x14ac:dyDescent="0.25">
      <c r="A354" t="s">
        <v>380</v>
      </c>
      <c r="B354" t="s">
        <v>23</v>
      </c>
      <c r="C354">
        <v>91</v>
      </c>
      <c r="D354" t="s">
        <v>9</v>
      </c>
      <c r="E354">
        <v>84</v>
      </c>
      <c r="F354">
        <v>4.5</v>
      </c>
      <c r="G354" s="8">
        <v>45030</v>
      </c>
      <c r="H354">
        <v>2023</v>
      </c>
      <c r="I354">
        <v>2</v>
      </c>
      <c r="J354">
        <v>4</v>
      </c>
      <c r="K354" t="s">
        <v>1049</v>
      </c>
      <c r="L354" t="s">
        <v>1045</v>
      </c>
      <c r="M354">
        <v>2023</v>
      </c>
      <c r="N354" t="s">
        <v>1074</v>
      </c>
      <c r="O354">
        <v>4</v>
      </c>
    </row>
    <row r="355" spans="1:15" x14ac:dyDescent="0.25">
      <c r="A355" t="s">
        <v>381</v>
      </c>
      <c r="B355" t="s">
        <v>5</v>
      </c>
      <c r="C355">
        <v>67</v>
      </c>
      <c r="D355" t="s">
        <v>9</v>
      </c>
      <c r="E355">
        <v>172</v>
      </c>
      <c r="F355">
        <v>4.5</v>
      </c>
      <c r="G355" s="8">
        <v>45031</v>
      </c>
      <c r="H355">
        <v>2023</v>
      </c>
      <c r="I355">
        <v>2</v>
      </c>
      <c r="J355">
        <v>4</v>
      </c>
      <c r="K355" t="s">
        <v>1049</v>
      </c>
      <c r="L355" t="s">
        <v>1046</v>
      </c>
      <c r="M355">
        <v>2023</v>
      </c>
      <c r="N355" t="s">
        <v>1074</v>
      </c>
      <c r="O355">
        <v>4</v>
      </c>
    </row>
    <row r="356" spans="1:15" x14ac:dyDescent="0.25">
      <c r="A356" t="s">
        <v>382</v>
      </c>
      <c r="B356" t="s">
        <v>14</v>
      </c>
      <c r="C356">
        <v>139</v>
      </c>
      <c r="D356" t="s">
        <v>10</v>
      </c>
      <c r="E356">
        <v>114</v>
      </c>
      <c r="F356">
        <v>4</v>
      </c>
      <c r="G356" s="8">
        <v>45031</v>
      </c>
      <c r="H356">
        <v>2023</v>
      </c>
      <c r="I356">
        <v>2</v>
      </c>
      <c r="J356">
        <v>4</v>
      </c>
      <c r="K356" t="s">
        <v>1049</v>
      </c>
      <c r="L356" t="s">
        <v>1046</v>
      </c>
      <c r="M356">
        <v>2023</v>
      </c>
      <c r="N356" t="s">
        <v>1075</v>
      </c>
      <c r="O356">
        <v>4</v>
      </c>
    </row>
    <row r="357" spans="1:15" x14ac:dyDescent="0.25">
      <c r="A357" t="s">
        <v>383</v>
      </c>
      <c r="B357" t="s">
        <v>5</v>
      </c>
      <c r="C357">
        <v>102</v>
      </c>
      <c r="D357" t="s">
        <v>10</v>
      </c>
      <c r="E357">
        <v>60</v>
      </c>
      <c r="F357">
        <v>3.8</v>
      </c>
      <c r="G357" s="8">
        <v>45031</v>
      </c>
      <c r="H357">
        <v>2023</v>
      </c>
      <c r="I357">
        <v>2</v>
      </c>
      <c r="J357">
        <v>4</v>
      </c>
      <c r="K357" t="s">
        <v>1049</v>
      </c>
      <c r="L357" t="s">
        <v>1046</v>
      </c>
      <c r="M357">
        <v>2023</v>
      </c>
      <c r="N357" t="s">
        <v>1074</v>
      </c>
      <c r="O357">
        <v>4</v>
      </c>
    </row>
    <row r="358" spans="1:15" x14ac:dyDescent="0.25">
      <c r="A358" t="s">
        <v>384</v>
      </c>
      <c r="B358" t="s">
        <v>17</v>
      </c>
      <c r="C358">
        <v>108</v>
      </c>
      <c r="D358" t="s">
        <v>11</v>
      </c>
      <c r="E358">
        <v>26</v>
      </c>
      <c r="F358">
        <v>3.3</v>
      </c>
      <c r="G358" s="8">
        <v>45031</v>
      </c>
      <c r="H358">
        <v>2023</v>
      </c>
      <c r="I358">
        <v>2</v>
      </c>
      <c r="J358">
        <v>4</v>
      </c>
      <c r="K358" t="s">
        <v>1049</v>
      </c>
      <c r="L358" t="s">
        <v>1046</v>
      </c>
      <c r="M358">
        <v>2023</v>
      </c>
      <c r="N358" t="s">
        <v>1074</v>
      </c>
      <c r="O358">
        <v>3</v>
      </c>
    </row>
    <row r="359" spans="1:15" x14ac:dyDescent="0.25">
      <c r="A359" t="s">
        <v>385</v>
      </c>
      <c r="B359" t="s">
        <v>15</v>
      </c>
      <c r="C359">
        <v>66</v>
      </c>
      <c r="D359" t="s">
        <v>9</v>
      </c>
      <c r="E359">
        <v>210</v>
      </c>
      <c r="F359">
        <v>4.3</v>
      </c>
      <c r="G359" s="8">
        <v>45031</v>
      </c>
      <c r="H359">
        <v>2023</v>
      </c>
      <c r="I359">
        <v>2</v>
      </c>
      <c r="J359">
        <v>4</v>
      </c>
      <c r="K359" t="s">
        <v>1049</v>
      </c>
      <c r="L359" t="s">
        <v>1046</v>
      </c>
      <c r="M359">
        <v>2023</v>
      </c>
      <c r="N359" t="s">
        <v>1074</v>
      </c>
      <c r="O359">
        <v>4</v>
      </c>
    </row>
    <row r="360" spans="1:15" x14ac:dyDescent="0.25">
      <c r="A360" t="s">
        <v>386</v>
      </c>
      <c r="B360" t="s">
        <v>22</v>
      </c>
      <c r="C360">
        <v>85</v>
      </c>
      <c r="D360" t="s">
        <v>10</v>
      </c>
      <c r="E360">
        <v>129</v>
      </c>
      <c r="F360">
        <v>4.2</v>
      </c>
      <c r="G360" s="8">
        <v>45031</v>
      </c>
      <c r="H360">
        <v>2023</v>
      </c>
      <c r="I360">
        <v>2</v>
      </c>
      <c r="J360">
        <v>4</v>
      </c>
      <c r="K360" t="s">
        <v>1049</v>
      </c>
      <c r="L360" t="s">
        <v>1046</v>
      </c>
      <c r="M360">
        <v>2023</v>
      </c>
      <c r="N360" t="s">
        <v>1074</v>
      </c>
      <c r="O360">
        <v>4</v>
      </c>
    </row>
    <row r="361" spans="1:15" x14ac:dyDescent="0.25">
      <c r="A361" t="s">
        <v>387</v>
      </c>
      <c r="B361" t="s">
        <v>7</v>
      </c>
      <c r="C361">
        <v>55</v>
      </c>
      <c r="D361" t="s">
        <v>11</v>
      </c>
      <c r="E361">
        <v>215</v>
      </c>
      <c r="F361">
        <v>4.3</v>
      </c>
      <c r="G361" s="8">
        <v>45031</v>
      </c>
      <c r="H361">
        <v>2023</v>
      </c>
      <c r="I361">
        <v>2</v>
      </c>
      <c r="J361">
        <v>4</v>
      </c>
      <c r="K361" t="s">
        <v>1049</v>
      </c>
      <c r="L361" t="s">
        <v>1046</v>
      </c>
      <c r="M361">
        <v>2023</v>
      </c>
      <c r="N361" t="s">
        <v>1076</v>
      </c>
      <c r="O361">
        <v>4</v>
      </c>
    </row>
    <row r="362" spans="1:15" x14ac:dyDescent="0.25">
      <c r="A362" t="s">
        <v>388</v>
      </c>
      <c r="B362" t="s">
        <v>17</v>
      </c>
      <c r="C362">
        <v>17</v>
      </c>
      <c r="D362" t="s">
        <v>6</v>
      </c>
      <c r="E362">
        <v>69</v>
      </c>
      <c r="F362">
        <v>4.5999999999999996</v>
      </c>
      <c r="G362" s="8">
        <v>45031</v>
      </c>
      <c r="H362">
        <v>2023</v>
      </c>
      <c r="I362">
        <v>2</v>
      </c>
      <c r="J362">
        <v>4</v>
      </c>
      <c r="K362" t="s">
        <v>1049</v>
      </c>
      <c r="L362" t="s">
        <v>1046</v>
      </c>
      <c r="M362">
        <v>2023</v>
      </c>
      <c r="N362" t="s">
        <v>1077</v>
      </c>
      <c r="O362">
        <v>5</v>
      </c>
    </row>
    <row r="363" spans="1:15" x14ac:dyDescent="0.25">
      <c r="A363" t="s">
        <v>389</v>
      </c>
      <c r="B363" t="s">
        <v>7</v>
      </c>
      <c r="C363">
        <v>128</v>
      </c>
      <c r="D363" t="s">
        <v>6</v>
      </c>
      <c r="E363">
        <v>140</v>
      </c>
      <c r="F363">
        <v>3</v>
      </c>
      <c r="G363" s="8">
        <v>45031</v>
      </c>
      <c r="H363">
        <v>2023</v>
      </c>
      <c r="I363">
        <v>2</v>
      </c>
      <c r="J363">
        <v>4</v>
      </c>
      <c r="K363" t="s">
        <v>1049</v>
      </c>
      <c r="L363" t="s">
        <v>1046</v>
      </c>
      <c r="M363">
        <v>2023</v>
      </c>
      <c r="N363" t="s">
        <v>1075</v>
      </c>
      <c r="O363">
        <v>3</v>
      </c>
    </row>
    <row r="364" spans="1:15" x14ac:dyDescent="0.25">
      <c r="A364" t="s">
        <v>390</v>
      </c>
      <c r="B364" t="s">
        <v>19</v>
      </c>
      <c r="C364">
        <v>45</v>
      </c>
      <c r="D364" t="s">
        <v>11</v>
      </c>
      <c r="E364">
        <v>156</v>
      </c>
      <c r="F364">
        <v>2.7</v>
      </c>
      <c r="G364" s="8">
        <v>45032</v>
      </c>
      <c r="H364">
        <v>2023</v>
      </c>
      <c r="I364">
        <v>2</v>
      </c>
      <c r="J364">
        <v>4</v>
      </c>
      <c r="K364" t="s">
        <v>1049</v>
      </c>
      <c r="L364" t="s">
        <v>1040</v>
      </c>
      <c r="M364">
        <v>2023</v>
      </c>
      <c r="N364" t="s">
        <v>1076</v>
      </c>
      <c r="O364">
        <v>3</v>
      </c>
    </row>
    <row r="365" spans="1:15" x14ac:dyDescent="0.25">
      <c r="A365" t="s">
        <v>391</v>
      </c>
      <c r="B365" t="s">
        <v>17</v>
      </c>
      <c r="C365">
        <v>41</v>
      </c>
      <c r="D365" t="s">
        <v>6</v>
      </c>
      <c r="E365">
        <v>164</v>
      </c>
      <c r="F365">
        <v>3.1</v>
      </c>
      <c r="G365" s="8">
        <v>45032</v>
      </c>
      <c r="H365">
        <v>2023</v>
      </c>
      <c r="I365">
        <v>2</v>
      </c>
      <c r="J365">
        <v>4</v>
      </c>
      <c r="K365" t="s">
        <v>1049</v>
      </c>
      <c r="L365" t="s">
        <v>1040</v>
      </c>
      <c r="M365">
        <v>2023</v>
      </c>
      <c r="N365" t="s">
        <v>1076</v>
      </c>
      <c r="O365">
        <v>3</v>
      </c>
    </row>
    <row r="366" spans="1:15" x14ac:dyDescent="0.25">
      <c r="A366" t="s">
        <v>392</v>
      </c>
      <c r="B366" t="s">
        <v>24</v>
      </c>
      <c r="C366">
        <v>49</v>
      </c>
      <c r="D366" t="s">
        <v>6</v>
      </c>
      <c r="E366">
        <v>195</v>
      </c>
      <c r="F366">
        <v>2.6</v>
      </c>
      <c r="G366" s="8">
        <v>45032</v>
      </c>
      <c r="H366">
        <v>2023</v>
      </c>
      <c r="I366">
        <v>2</v>
      </c>
      <c r="J366">
        <v>4</v>
      </c>
      <c r="K366" t="s">
        <v>1049</v>
      </c>
      <c r="L366" t="s">
        <v>1040</v>
      </c>
      <c r="M366">
        <v>2023</v>
      </c>
      <c r="N366" t="s">
        <v>1076</v>
      </c>
      <c r="O366">
        <v>3</v>
      </c>
    </row>
    <row r="367" spans="1:15" x14ac:dyDescent="0.25">
      <c r="A367" t="s">
        <v>393</v>
      </c>
      <c r="B367" t="s">
        <v>12</v>
      </c>
      <c r="C367">
        <v>21</v>
      </c>
      <c r="D367" t="s">
        <v>13</v>
      </c>
      <c r="E367">
        <v>74</v>
      </c>
      <c r="F367">
        <v>4.5999999999999996</v>
      </c>
      <c r="G367" s="8">
        <v>45032</v>
      </c>
      <c r="H367">
        <v>2023</v>
      </c>
      <c r="I367">
        <v>2</v>
      </c>
      <c r="J367">
        <v>4</v>
      </c>
      <c r="K367" t="s">
        <v>1049</v>
      </c>
      <c r="L367" t="s">
        <v>1040</v>
      </c>
      <c r="M367">
        <v>2023</v>
      </c>
      <c r="N367" t="s">
        <v>1077</v>
      </c>
      <c r="O367">
        <v>5</v>
      </c>
    </row>
    <row r="368" spans="1:15" x14ac:dyDescent="0.25">
      <c r="A368" t="s">
        <v>394</v>
      </c>
      <c r="B368" t="s">
        <v>16</v>
      </c>
      <c r="C368">
        <v>133</v>
      </c>
      <c r="D368" t="s">
        <v>11</v>
      </c>
      <c r="E368">
        <v>100</v>
      </c>
      <c r="F368">
        <v>4</v>
      </c>
      <c r="G368" s="8">
        <v>45032</v>
      </c>
      <c r="H368">
        <v>2023</v>
      </c>
      <c r="I368">
        <v>2</v>
      </c>
      <c r="J368">
        <v>4</v>
      </c>
      <c r="K368" t="s">
        <v>1049</v>
      </c>
      <c r="L368" t="s">
        <v>1040</v>
      </c>
      <c r="M368">
        <v>2023</v>
      </c>
      <c r="N368" t="s">
        <v>1075</v>
      </c>
      <c r="O368">
        <v>4</v>
      </c>
    </row>
    <row r="369" spans="1:15" x14ac:dyDescent="0.25">
      <c r="A369" t="s">
        <v>395</v>
      </c>
      <c r="B369" t="s">
        <v>20</v>
      </c>
      <c r="C369">
        <v>135</v>
      </c>
      <c r="D369" t="s">
        <v>9</v>
      </c>
      <c r="E369">
        <v>185</v>
      </c>
      <c r="F369">
        <v>4.5</v>
      </c>
      <c r="G369" s="8">
        <v>45032</v>
      </c>
      <c r="H369">
        <v>2023</v>
      </c>
      <c r="I369">
        <v>2</v>
      </c>
      <c r="J369">
        <v>4</v>
      </c>
      <c r="K369" t="s">
        <v>1049</v>
      </c>
      <c r="L369" t="s">
        <v>1040</v>
      </c>
      <c r="M369">
        <v>2023</v>
      </c>
      <c r="N369" t="s">
        <v>1075</v>
      </c>
      <c r="O369">
        <v>4</v>
      </c>
    </row>
    <row r="370" spans="1:15" x14ac:dyDescent="0.25">
      <c r="A370" t="s">
        <v>396</v>
      </c>
      <c r="B370" t="s">
        <v>14</v>
      </c>
      <c r="C370">
        <v>69</v>
      </c>
      <c r="D370" t="s">
        <v>11</v>
      </c>
      <c r="E370">
        <v>130</v>
      </c>
      <c r="F370">
        <v>1.9</v>
      </c>
      <c r="G370" s="8">
        <v>45032</v>
      </c>
      <c r="H370">
        <v>2023</v>
      </c>
      <c r="I370">
        <v>2</v>
      </c>
      <c r="J370">
        <v>4</v>
      </c>
      <c r="K370" t="s">
        <v>1049</v>
      </c>
      <c r="L370" t="s">
        <v>1040</v>
      </c>
      <c r="M370">
        <v>2023</v>
      </c>
      <c r="N370" t="s">
        <v>1074</v>
      </c>
      <c r="O370">
        <v>2</v>
      </c>
    </row>
    <row r="371" spans="1:15" x14ac:dyDescent="0.25">
      <c r="A371" t="s">
        <v>397</v>
      </c>
      <c r="B371" t="s">
        <v>18</v>
      </c>
      <c r="C371">
        <v>110</v>
      </c>
      <c r="D371" t="s">
        <v>13</v>
      </c>
      <c r="E371">
        <v>21</v>
      </c>
      <c r="F371">
        <v>2.6</v>
      </c>
      <c r="G371" s="8">
        <v>45033</v>
      </c>
      <c r="H371">
        <v>2023</v>
      </c>
      <c r="I371">
        <v>2</v>
      </c>
      <c r="J371">
        <v>4</v>
      </c>
      <c r="K371" t="s">
        <v>1049</v>
      </c>
      <c r="L371" t="s">
        <v>1041</v>
      </c>
      <c r="M371">
        <v>2023</v>
      </c>
      <c r="N371" t="s">
        <v>1074</v>
      </c>
      <c r="O371">
        <v>3</v>
      </c>
    </row>
    <row r="372" spans="1:15" x14ac:dyDescent="0.25">
      <c r="A372" t="s">
        <v>398</v>
      </c>
      <c r="B372" t="s">
        <v>5</v>
      </c>
      <c r="C372">
        <v>64</v>
      </c>
      <c r="D372" t="s">
        <v>10</v>
      </c>
      <c r="E372">
        <v>88</v>
      </c>
      <c r="F372">
        <v>4.3</v>
      </c>
      <c r="G372" s="8">
        <v>45033</v>
      </c>
      <c r="H372">
        <v>2023</v>
      </c>
      <c r="I372">
        <v>2</v>
      </c>
      <c r="J372">
        <v>4</v>
      </c>
      <c r="K372" t="s">
        <v>1049</v>
      </c>
      <c r="L372" t="s">
        <v>1041</v>
      </c>
      <c r="M372">
        <v>2023</v>
      </c>
      <c r="N372" t="s">
        <v>1074</v>
      </c>
      <c r="O372">
        <v>4</v>
      </c>
    </row>
    <row r="373" spans="1:15" x14ac:dyDescent="0.25">
      <c r="A373" t="s">
        <v>399</v>
      </c>
      <c r="B373" t="s">
        <v>23</v>
      </c>
      <c r="C373">
        <v>105</v>
      </c>
      <c r="D373" t="s">
        <v>6</v>
      </c>
      <c r="E373">
        <v>35</v>
      </c>
      <c r="F373">
        <v>4.4000000000000004</v>
      </c>
      <c r="G373" s="8">
        <v>45033</v>
      </c>
      <c r="H373">
        <v>2023</v>
      </c>
      <c r="I373">
        <v>2</v>
      </c>
      <c r="J373">
        <v>4</v>
      </c>
      <c r="K373" t="s">
        <v>1049</v>
      </c>
      <c r="L373" t="s">
        <v>1041</v>
      </c>
      <c r="M373">
        <v>2023</v>
      </c>
      <c r="N373" t="s">
        <v>1074</v>
      </c>
      <c r="O373">
        <v>4</v>
      </c>
    </row>
    <row r="374" spans="1:15" x14ac:dyDescent="0.25">
      <c r="A374" t="s">
        <v>400</v>
      </c>
      <c r="B374" t="s">
        <v>5</v>
      </c>
      <c r="C374">
        <v>165</v>
      </c>
      <c r="D374" t="s">
        <v>9</v>
      </c>
      <c r="E374">
        <v>68</v>
      </c>
      <c r="F374">
        <v>4.3</v>
      </c>
      <c r="G374" s="8">
        <v>45033</v>
      </c>
      <c r="H374">
        <v>2023</v>
      </c>
      <c r="I374">
        <v>2</v>
      </c>
      <c r="J374">
        <v>4</v>
      </c>
      <c r="K374" t="s">
        <v>1049</v>
      </c>
      <c r="L374" t="s">
        <v>1041</v>
      </c>
      <c r="M374">
        <v>2023</v>
      </c>
      <c r="N374" t="s">
        <v>1075</v>
      </c>
      <c r="O374">
        <v>4</v>
      </c>
    </row>
    <row r="375" spans="1:15" x14ac:dyDescent="0.25">
      <c r="A375" t="s">
        <v>401</v>
      </c>
      <c r="B375" t="s">
        <v>19</v>
      </c>
      <c r="C375">
        <v>125</v>
      </c>
      <c r="D375" t="s">
        <v>9</v>
      </c>
      <c r="E375">
        <v>148</v>
      </c>
      <c r="F375">
        <v>4.5</v>
      </c>
      <c r="G375" s="8">
        <v>45033</v>
      </c>
      <c r="H375">
        <v>2023</v>
      </c>
      <c r="I375">
        <v>2</v>
      </c>
      <c r="J375">
        <v>4</v>
      </c>
      <c r="K375" t="s">
        <v>1049</v>
      </c>
      <c r="L375" t="s">
        <v>1041</v>
      </c>
      <c r="M375">
        <v>2023</v>
      </c>
      <c r="N375" t="s">
        <v>1075</v>
      </c>
      <c r="O375">
        <v>4</v>
      </c>
    </row>
    <row r="376" spans="1:15" x14ac:dyDescent="0.25">
      <c r="A376" t="s">
        <v>402</v>
      </c>
      <c r="B376" t="s">
        <v>23</v>
      </c>
      <c r="C376">
        <v>88</v>
      </c>
      <c r="D376" t="s">
        <v>10</v>
      </c>
      <c r="E376">
        <v>81</v>
      </c>
      <c r="F376">
        <v>4.2</v>
      </c>
      <c r="G376" s="8">
        <v>45034</v>
      </c>
      <c r="H376">
        <v>2023</v>
      </c>
      <c r="I376">
        <v>2</v>
      </c>
      <c r="J376">
        <v>4</v>
      </c>
      <c r="K376" t="s">
        <v>1049</v>
      </c>
      <c r="L376" t="s">
        <v>1042</v>
      </c>
      <c r="M376">
        <v>2023</v>
      </c>
      <c r="N376" t="s">
        <v>1074</v>
      </c>
      <c r="O376">
        <v>4</v>
      </c>
    </row>
    <row r="377" spans="1:15" x14ac:dyDescent="0.25">
      <c r="A377" t="s">
        <v>403</v>
      </c>
      <c r="B377" t="s">
        <v>14</v>
      </c>
      <c r="C377">
        <v>6</v>
      </c>
      <c r="D377" t="s">
        <v>10</v>
      </c>
      <c r="E377">
        <v>75</v>
      </c>
      <c r="F377">
        <v>3.9</v>
      </c>
      <c r="G377" s="8">
        <v>45034</v>
      </c>
      <c r="H377">
        <v>2023</v>
      </c>
      <c r="I377">
        <v>2</v>
      </c>
      <c r="J377">
        <v>4</v>
      </c>
      <c r="K377" t="s">
        <v>1049</v>
      </c>
      <c r="L377" t="s">
        <v>1042</v>
      </c>
      <c r="M377">
        <v>2023</v>
      </c>
      <c r="N377" t="s">
        <v>1078</v>
      </c>
      <c r="O377">
        <v>4</v>
      </c>
    </row>
    <row r="378" spans="1:15" x14ac:dyDescent="0.25">
      <c r="A378" t="s">
        <v>404</v>
      </c>
      <c r="B378" t="s">
        <v>22</v>
      </c>
      <c r="C378">
        <v>69</v>
      </c>
      <c r="D378" t="s">
        <v>11</v>
      </c>
      <c r="E378">
        <v>32</v>
      </c>
      <c r="F378">
        <v>3.6</v>
      </c>
      <c r="G378" s="8">
        <v>45035</v>
      </c>
      <c r="H378">
        <v>2023</v>
      </c>
      <c r="I378">
        <v>2</v>
      </c>
      <c r="J378">
        <v>4</v>
      </c>
      <c r="K378" t="s">
        <v>1049</v>
      </c>
      <c r="L378" t="s">
        <v>1043</v>
      </c>
      <c r="M378">
        <v>2023</v>
      </c>
      <c r="N378" t="s">
        <v>1074</v>
      </c>
      <c r="O378">
        <v>4</v>
      </c>
    </row>
    <row r="379" spans="1:15" x14ac:dyDescent="0.25">
      <c r="A379" t="s">
        <v>405</v>
      </c>
      <c r="B379" t="s">
        <v>17</v>
      </c>
      <c r="C379">
        <v>107</v>
      </c>
      <c r="D379" t="s">
        <v>11</v>
      </c>
      <c r="E379">
        <v>156</v>
      </c>
      <c r="F379">
        <v>3.8</v>
      </c>
      <c r="G379" s="8">
        <v>45035</v>
      </c>
      <c r="H379">
        <v>2023</v>
      </c>
      <c r="I379">
        <v>2</v>
      </c>
      <c r="J379">
        <v>4</v>
      </c>
      <c r="K379" t="s">
        <v>1049</v>
      </c>
      <c r="L379" t="s">
        <v>1043</v>
      </c>
      <c r="M379">
        <v>2023</v>
      </c>
      <c r="N379" t="s">
        <v>1074</v>
      </c>
      <c r="O379">
        <v>4</v>
      </c>
    </row>
    <row r="380" spans="1:15" x14ac:dyDescent="0.25">
      <c r="A380" t="s">
        <v>406</v>
      </c>
      <c r="B380" t="s">
        <v>12</v>
      </c>
      <c r="C380">
        <v>90</v>
      </c>
      <c r="D380" t="s">
        <v>9</v>
      </c>
      <c r="E380">
        <v>99</v>
      </c>
      <c r="F380">
        <v>4.9000000000000004</v>
      </c>
      <c r="G380" s="8">
        <v>45035</v>
      </c>
      <c r="H380">
        <v>2023</v>
      </c>
      <c r="I380">
        <v>2</v>
      </c>
      <c r="J380">
        <v>4</v>
      </c>
      <c r="K380" t="s">
        <v>1049</v>
      </c>
      <c r="L380" t="s">
        <v>1043</v>
      </c>
      <c r="M380">
        <v>2023</v>
      </c>
      <c r="N380" t="s">
        <v>1074</v>
      </c>
      <c r="O380">
        <v>5</v>
      </c>
    </row>
    <row r="381" spans="1:15" x14ac:dyDescent="0.25">
      <c r="A381" t="s">
        <v>407</v>
      </c>
      <c r="B381" t="s">
        <v>20</v>
      </c>
      <c r="C381">
        <v>120</v>
      </c>
      <c r="D381" t="s">
        <v>6</v>
      </c>
      <c r="E381">
        <v>26</v>
      </c>
      <c r="F381">
        <v>4</v>
      </c>
      <c r="G381" s="8">
        <v>45035</v>
      </c>
      <c r="H381">
        <v>2023</v>
      </c>
      <c r="I381">
        <v>2</v>
      </c>
      <c r="J381">
        <v>4</v>
      </c>
      <c r="K381" t="s">
        <v>1049</v>
      </c>
      <c r="L381" t="s">
        <v>1043</v>
      </c>
      <c r="M381">
        <v>2023</v>
      </c>
      <c r="N381" t="s">
        <v>1074</v>
      </c>
      <c r="O381">
        <v>4</v>
      </c>
    </row>
    <row r="382" spans="1:15" x14ac:dyDescent="0.25">
      <c r="A382" t="s">
        <v>408</v>
      </c>
      <c r="B382" t="s">
        <v>8</v>
      </c>
      <c r="C382">
        <v>47</v>
      </c>
      <c r="D382" t="s">
        <v>11</v>
      </c>
      <c r="E382">
        <v>84</v>
      </c>
      <c r="F382">
        <v>4.0999999999999996</v>
      </c>
      <c r="G382" s="8">
        <v>45035</v>
      </c>
      <c r="H382">
        <v>2023</v>
      </c>
      <c r="I382">
        <v>2</v>
      </c>
      <c r="J382">
        <v>4</v>
      </c>
      <c r="K382" t="s">
        <v>1049</v>
      </c>
      <c r="L382" t="s">
        <v>1043</v>
      </c>
      <c r="M382">
        <v>2023</v>
      </c>
      <c r="N382" t="s">
        <v>1076</v>
      </c>
      <c r="O382">
        <v>4</v>
      </c>
    </row>
    <row r="383" spans="1:15" x14ac:dyDescent="0.25">
      <c r="A383" t="s">
        <v>409</v>
      </c>
      <c r="B383" t="s">
        <v>21</v>
      </c>
      <c r="C383">
        <v>60</v>
      </c>
      <c r="D383" t="s">
        <v>6</v>
      </c>
      <c r="E383">
        <v>84</v>
      </c>
      <c r="F383">
        <v>4.8</v>
      </c>
      <c r="G383" s="8">
        <v>45035</v>
      </c>
      <c r="H383">
        <v>2023</v>
      </c>
      <c r="I383">
        <v>2</v>
      </c>
      <c r="J383">
        <v>4</v>
      </c>
      <c r="K383" t="s">
        <v>1049</v>
      </c>
      <c r="L383" t="s">
        <v>1043</v>
      </c>
      <c r="M383">
        <v>2023</v>
      </c>
      <c r="N383" t="s">
        <v>1076</v>
      </c>
      <c r="O383">
        <v>5</v>
      </c>
    </row>
    <row r="384" spans="1:15" x14ac:dyDescent="0.25">
      <c r="A384" t="s">
        <v>410</v>
      </c>
      <c r="B384" t="s">
        <v>7</v>
      </c>
      <c r="C384">
        <v>64</v>
      </c>
      <c r="D384" t="s">
        <v>9</v>
      </c>
      <c r="E384">
        <v>170</v>
      </c>
      <c r="F384">
        <v>2.2999999999999998</v>
      </c>
      <c r="G384" s="8">
        <v>45035</v>
      </c>
      <c r="H384">
        <v>2023</v>
      </c>
      <c r="I384">
        <v>2</v>
      </c>
      <c r="J384">
        <v>4</v>
      </c>
      <c r="K384" t="s">
        <v>1049</v>
      </c>
      <c r="L384" t="s">
        <v>1043</v>
      </c>
      <c r="M384">
        <v>2023</v>
      </c>
      <c r="N384" t="s">
        <v>1074</v>
      </c>
      <c r="O384">
        <v>2</v>
      </c>
    </row>
    <row r="385" spans="1:15" x14ac:dyDescent="0.25">
      <c r="A385" t="s">
        <v>411</v>
      </c>
      <c r="B385" t="s">
        <v>5</v>
      </c>
      <c r="C385">
        <v>62</v>
      </c>
      <c r="D385" t="s">
        <v>11</v>
      </c>
      <c r="E385">
        <v>35</v>
      </c>
      <c r="F385">
        <v>4.4000000000000004</v>
      </c>
      <c r="G385" s="8">
        <v>45035</v>
      </c>
      <c r="H385">
        <v>2023</v>
      </c>
      <c r="I385">
        <v>2</v>
      </c>
      <c r="J385">
        <v>4</v>
      </c>
      <c r="K385" t="s">
        <v>1049</v>
      </c>
      <c r="L385" t="s">
        <v>1043</v>
      </c>
      <c r="M385">
        <v>2023</v>
      </c>
      <c r="N385" t="s">
        <v>1074</v>
      </c>
      <c r="O385">
        <v>4</v>
      </c>
    </row>
    <row r="386" spans="1:15" x14ac:dyDescent="0.25">
      <c r="A386" t="s">
        <v>412</v>
      </c>
      <c r="B386" t="s">
        <v>18</v>
      </c>
      <c r="C386">
        <v>88</v>
      </c>
      <c r="D386" t="s">
        <v>11</v>
      </c>
      <c r="E386">
        <v>35</v>
      </c>
      <c r="F386">
        <v>3.8</v>
      </c>
      <c r="G386" s="8">
        <v>45036</v>
      </c>
      <c r="H386">
        <v>2023</v>
      </c>
      <c r="I386">
        <v>2</v>
      </c>
      <c r="J386">
        <v>4</v>
      </c>
      <c r="K386" t="s">
        <v>1049</v>
      </c>
      <c r="L386" t="s">
        <v>1044</v>
      </c>
      <c r="M386">
        <v>2023</v>
      </c>
      <c r="N386" t="s">
        <v>1074</v>
      </c>
      <c r="O386">
        <v>4</v>
      </c>
    </row>
    <row r="387" spans="1:15" x14ac:dyDescent="0.25">
      <c r="A387" t="s">
        <v>413</v>
      </c>
      <c r="B387" t="s">
        <v>19</v>
      </c>
      <c r="C387">
        <v>116</v>
      </c>
      <c r="D387" t="s">
        <v>11</v>
      </c>
      <c r="E387">
        <v>132</v>
      </c>
      <c r="F387">
        <v>5</v>
      </c>
      <c r="G387" s="8">
        <v>45036</v>
      </c>
      <c r="H387">
        <v>2023</v>
      </c>
      <c r="I387">
        <v>2</v>
      </c>
      <c r="J387">
        <v>4</v>
      </c>
      <c r="K387" t="s">
        <v>1049</v>
      </c>
      <c r="L387" t="s">
        <v>1044</v>
      </c>
      <c r="M387">
        <v>2023</v>
      </c>
      <c r="N387" t="s">
        <v>1074</v>
      </c>
      <c r="O387">
        <v>5</v>
      </c>
    </row>
    <row r="388" spans="1:15" x14ac:dyDescent="0.25">
      <c r="A388" t="s">
        <v>414</v>
      </c>
      <c r="B388" t="s">
        <v>12</v>
      </c>
      <c r="C388">
        <v>82</v>
      </c>
      <c r="D388" t="s">
        <v>10</v>
      </c>
      <c r="E388">
        <v>144</v>
      </c>
      <c r="F388">
        <v>3.3</v>
      </c>
      <c r="G388" s="8">
        <v>45037</v>
      </c>
      <c r="H388">
        <v>2023</v>
      </c>
      <c r="I388">
        <v>2</v>
      </c>
      <c r="J388">
        <v>4</v>
      </c>
      <c r="K388" t="s">
        <v>1049</v>
      </c>
      <c r="L388" t="s">
        <v>1045</v>
      </c>
      <c r="M388">
        <v>2023</v>
      </c>
      <c r="N388" t="s">
        <v>1074</v>
      </c>
      <c r="O388">
        <v>3</v>
      </c>
    </row>
    <row r="389" spans="1:15" x14ac:dyDescent="0.25">
      <c r="A389" t="s">
        <v>415</v>
      </c>
      <c r="B389" t="s">
        <v>5</v>
      </c>
      <c r="C389">
        <v>99</v>
      </c>
      <c r="D389" t="s">
        <v>9</v>
      </c>
      <c r="E389">
        <v>48</v>
      </c>
      <c r="F389">
        <v>5</v>
      </c>
      <c r="G389" s="8">
        <v>45037</v>
      </c>
      <c r="H389">
        <v>2023</v>
      </c>
      <c r="I389">
        <v>2</v>
      </c>
      <c r="J389">
        <v>4</v>
      </c>
      <c r="K389" t="s">
        <v>1049</v>
      </c>
      <c r="L389" t="s">
        <v>1045</v>
      </c>
      <c r="M389">
        <v>2023</v>
      </c>
      <c r="N389" t="s">
        <v>1074</v>
      </c>
      <c r="O389">
        <v>5</v>
      </c>
    </row>
    <row r="390" spans="1:15" x14ac:dyDescent="0.25">
      <c r="A390" t="s">
        <v>416</v>
      </c>
      <c r="B390" t="s">
        <v>5</v>
      </c>
      <c r="C390">
        <v>55</v>
      </c>
      <c r="D390" t="s">
        <v>10</v>
      </c>
      <c r="E390">
        <v>200</v>
      </c>
      <c r="F390">
        <v>2.2999999999999998</v>
      </c>
      <c r="G390" s="8">
        <v>45037</v>
      </c>
      <c r="H390">
        <v>2023</v>
      </c>
      <c r="I390">
        <v>2</v>
      </c>
      <c r="J390">
        <v>4</v>
      </c>
      <c r="K390" t="s">
        <v>1049</v>
      </c>
      <c r="L390" t="s">
        <v>1045</v>
      </c>
      <c r="M390">
        <v>2023</v>
      </c>
      <c r="N390" t="s">
        <v>1076</v>
      </c>
      <c r="O390">
        <v>2</v>
      </c>
    </row>
    <row r="391" spans="1:15" x14ac:dyDescent="0.25">
      <c r="A391" t="s">
        <v>417</v>
      </c>
      <c r="B391" t="s">
        <v>7</v>
      </c>
      <c r="C391">
        <v>61</v>
      </c>
      <c r="D391" t="s">
        <v>6</v>
      </c>
      <c r="E391">
        <v>38</v>
      </c>
      <c r="F391">
        <v>4.8</v>
      </c>
      <c r="G391" s="8">
        <v>45037</v>
      </c>
      <c r="H391">
        <v>2023</v>
      </c>
      <c r="I391">
        <v>2</v>
      </c>
      <c r="J391">
        <v>4</v>
      </c>
      <c r="K391" t="s">
        <v>1049</v>
      </c>
      <c r="L391" t="s">
        <v>1045</v>
      </c>
      <c r="M391">
        <v>2023</v>
      </c>
      <c r="N391" t="s">
        <v>1074</v>
      </c>
      <c r="O391">
        <v>5</v>
      </c>
    </row>
    <row r="392" spans="1:15" x14ac:dyDescent="0.25">
      <c r="A392" t="s">
        <v>418</v>
      </c>
      <c r="B392" t="s">
        <v>19</v>
      </c>
      <c r="C392">
        <v>36</v>
      </c>
      <c r="D392" t="s">
        <v>13</v>
      </c>
      <c r="E392">
        <v>81</v>
      </c>
      <c r="F392">
        <v>3.7</v>
      </c>
      <c r="G392" s="8">
        <v>45037</v>
      </c>
      <c r="H392">
        <v>2023</v>
      </c>
      <c r="I392">
        <v>2</v>
      </c>
      <c r="J392">
        <v>4</v>
      </c>
      <c r="K392" t="s">
        <v>1049</v>
      </c>
      <c r="L392" t="s">
        <v>1045</v>
      </c>
      <c r="M392">
        <v>2023</v>
      </c>
      <c r="N392" t="s">
        <v>1076</v>
      </c>
      <c r="O392">
        <v>4</v>
      </c>
    </row>
    <row r="393" spans="1:15" x14ac:dyDescent="0.25">
      <c r="A393" t="s">
        <v>419</v>
      </c>
      <c r="B393" t="s">
        <v>12</v>
      </c>
      <c r="C393">
        <v>123</v>
      </c>
      <c r="D393" t="s">
        <v>11</v>
      </c>
      <c r="E393">
        <v>120</v>
      </c>
      <c r="F393">
        <v>4.2</v>
      </c>
      <c r="G393" s="8">
        <v>45037</v>
      </c>
      <c r="H393">
        <v>2023</v>
      </c>
      <c r="I393">
        <v>2</v>
      </c>
      <c r="J393">
        <v>4</v>
      </c>
      <c r="K393" t="s">
        <v>1049</v>
      </c>
      <c r="L393" t="s">
        <v>1045</v>
      </c>
      <c r="M393">
        <v>2023</v>
      </c>
      <c r="N393" t="s">
        <v>1075</v>
      </c>
      <c r="O393">
        <v>4</v>
      </c>
    </row>
    <row r="394" spans="1:15" x14ac:dyDescent="0.25">
      <c r="A394" t="s">
        <v>420</v>
      </c>
      <c r="B394" t="s">
        <v>24</v>
      </c>
      <c r="C394">
        <v>24</v>
      </c>
      <c r="D394" t="s">
        <v>6</v>
      </c>
      <c r="E394">
        <v>74</v>
      </c>
      <c r="F394">
        <v>4.8</v>
      </c>
      <c r="G394" s="8">
        <v>45037</v>
      </c>
      <c r="H394">
        <v>2023</v>
      </c>
      <c r="I394">
        <v>2</v>
      </c>
      <c r="J394">
        <v>4</v>
      </c>
      <c r="K394" t="s">
        <v>1049</v>
      </c>
      <c r="L394" t="s">
        <v>1045</v>
      </c>
      <c r="M394">
        <v>2023</v>
      </c>
      <c r="N394" t="s">
        <v>1077</v>
      </c>
      <c r="O394">
        <v>5</v>
      </c>
    </row>
    <row r="395" spans="1:15" x14ac:dyDescent="0.25">
      <c r="A395" t="s">
        <v>421</v>
      </c>
      <c r="B395" t="s">
        <v>12</v>
      </c>
      <c r="C395">
        <v>43</v>
      </c>
      <c r="D395" t="s">
        <v>11</v>
      </c>
      <c r="E395">
        <v>128</v>
      </c>
      <c r="F395">
        <v>4.7</v>
      </c>
      <c r="G395" s="8">
        <v>45038</v>
      </c>
      <c r="H395">
        <v>2023</v>
      </c>
      <c r="I395">
        <v>2</v>
      </c>
      <c r="J395">
        <v>4</v>
      </c>
      <c r="K395" t="s">
        <v>1049</v>
      </c>
      <c r="L395" t="s">
        <v>1046</v>
      </c>
      <c r="M395">
        <v>2023</v>
      </c>
      <c r="N395" t="s">
        <v>1076</v>
      </c>
      <c r="O395">
        <v>5</v>
      </c>
    </row>
    <row r="396" spans="1:15" x14ac:dyDescent="0.25">
      <c r="A396" t="s">
        <v>422</v>
      </c>
      <c r="B396" t="s">
        <v>21</v>
      </c>
      <c r="C396">
        <v>95</v>
      </c>
      <c r="D396" t="s">
        <v>9</v>
      </c>
      <c r="E396">
        <v>21</v>
      </c>
      <c r="F396">
        <v>3.9</v>
      </c>
      <c r="G396" s="8">
        <v>45038</v>
      </c>
      <c r="H396">
        <v>2023</v>
      </c>
      <c r="I396">
        <v>2</v>
      </c>
      <c r="J396">
        <v>4</v>
      </c>
      <c r="K396" t="s">
        <v>1049</v>
      </c>
      <c r="L396" t="s">
        <v>1046</v>
      </c>
      <c r="M396">
        <v>2023</v>
      </c>
      <c r="N396" t="s">
        <v>1074</v>
      </c>
      <c r="O396">
        <v>4</v>
      </c>
    </row>
    <row r="397" spans="1:15" x14ac:dyDescent="0.25">
      <c r="A397" t="s">
        <v>423</v>
      </c>
      <c r="B397" t="s">
        <v>5</v>
      </c>
      <c r="C397">
        <v>53</v>
      </c>
      <c r="D397" t="s">
        <v>11</v>
      </c>
      <c r="E397">
        <v>110</v>
      </c>
      <c r="F397">
        <v>4.3</v>
      </c>
      <c r="G397" s="8">
        <v>45038</v>
      </c>
      <c r="H397">
        <v>2023</v>
      </c>
      <c r="I397">
        <v>2</v>
      </c>
      <c r="J397">
        <v>4</v>
      </c>
      <c r="K397" t="s">
        <v>1049</v>
      </c>
      <c r="L397" t="s">
        <v>1046</v>
      </c>
      <c r="M397">
        <v>2023</v>
      </c>
      <c r="N397" t="s">
        <v>1076</v>
      </c>
      <c r="O397">
        <v>4</v>
      </c>
    </row>
    <row r="398" spans="1:15" x14ac:dyDescent="0.25">
      <c r="A398" t="s">
        <v>424</v>
      </c>
      <c r="B398" t="s">
        <v>12</v>
      </c>
      <c r="C398">
        <v>113</v>
      </c>
      <c r="D398" t="s">
        <v>11</v>
      </c>
      <c r="E398">
        <v>145</v>
      </c>
      <c r="F398">
        <v>4</v>
      </c>
      <c r="G398" s="8">
        <v>45038</v>
      </c>
      <c r="H398">
        <v>2023</v>
      </c>
      <c r="I398">
        <v>2</v>
      </c>
      <c r="J398">
        <v>4</v>
      </c>
      <c r="K398" t="s">
        <v>1049</v>
      </c>
      <c r="L398" t="s">
        <v>1046</v>
      </c>
      <c r="M398">
        <v>2023</v>
      </c>
      <c r="N398" t="s">
        <v>1074</v>
      </c>
      <c r="O398">
        <v>4</v>
      </c>
    </row>
    <row r="399" spans="1:15" x14ac:dyDescent="0.25">
      <c r="A399" t="s">
        <v>425</v>
      </c>
      <c r="B399" t="s">
        <v>5</v>
      </c>
      <c r="C399">
        <v>89</v>
      </c>
      <c r="D399" t="s">
        <v>13</v>
      </c>
      <c r="E399">
        <v>129</v>
      </c>
      <c r="F399">
        <v>4</v>
      </c>
      <c r="G399" s="8">
        <v>45038</v>
      </c>
      <c r="H399">
        <v>2023</v>
      </c>
      <c r="I399">
        <v>2</v>
      </c>
      <c r="J399">
        <v>4</v>
      </c>
      <c r="K399" t="s">
        <v>1049</v>
      </c>
      <c r="L399" t="s">
        <v>1046</v>
      </c>
      <c r="M399">
        <v>2023</v>
      </c>
      <c r="N399" t="s">
        <v>1074</v>
      </c>
      <c r="O399">
        <v>4</v>
      </c>
    </row>
    <row r="400" spans="1:15" x14ac:dyDescent="0.25">
      <c r="A400" t="s">
        <v>426</v>
      </c>
      <c r="B400" t="s">
        <v>18</v>
      </c>
      <c r="C400">
        <v>84</v>
      </c>
      <c r="D400" t="s">
        <v>10</v>
      </c>
      <c r="E400">
        <v>156</v>
      </c>
      <c r="F400">
        <v>3.2</v>
      </c>
      <c r="G400" s="8">
        <v>45038</v>
      </c>
      <c r="H400">
        <v>2023</v>
      </c>
      <c r="I400">
        <v>2</v>
      </c>
      <c r="J400">
        <v>4</v>
      </c>
      <c r="K400" t="s">
        <v>1049</v>
      </c>
      <c r="L400" t="s">
        <v>1046</v>
      </c>
      <c r="M400">
        <v>2023</v>
      </c>
      <c r="N400" t="s">
        <v>1074</v>
      </c>
      <c r="O400">
        <v>3</v>
      </c>
    </row>
    <row r="401" spans="1:15" x14ac:dyDescent="0.25">
      <c r="A401" t="s">
        <v>427</v>
      </c>
      <c r="B401" t="s">
        <v>24</v>
      </c>
      <c r="C401">
        <v>130</v>
      </c>
      <c r="D401" t="s">
        <v>11</v>
      </c>
      <c r="E401">
        <v>120</v>
      </c>
      <c r="F401">
        <v>3.8</v>
      </c>
      <c r="G401" s="8">
        <v>45039</v>
      </c>
      <c r="H401">
        <v>2023</v>
      </c>
      <c r="I401">
        <v>2</v>
      </c>
      <c r="J401">
        <v>4</v>
      </c>
      <c r="K401" t="s">
        <v>1049</v>
      </c>
      <c r="L401" t="s">
        <v>1040</v>
      </c>
      <c r="M401">
        <v>2023</v>
      </c>
      <c r="N401" t="s">
        <v>1075</v>
      </c>
      <c r="O401">
        <v>4</v>
      </c>
    </row>
    <row r="402" spans="1:15" x14ac:dyDescent="0.25">
      <c r="A402" t="s">
        <v>428</v>
      </c>
      <c r="B402" t="s">
        <v>21</v>
      </c>
      <c r="C402">
        <v>163</v>
      </c>
      <c r="D402" t="s">
        <v>13</v>
      </c>
      <c r="E402">
        <v>62</v>
      </c>
      <c r="F402">
        <v>3.4</v>
      </c>
      <c r="G402" s="8">
        <v>45039</v>
      </c>
      <c r="H402">
        <v>2023</v>
      </c>
      <c r="I402">
        <v>2</v>
      </c>
      <c r="J402">
        <v>4</v>
      </c>
      <c r="K402" t="s">
        <v>1049</v>
      </c>
      <c r="L402" t="s">
        <v>1040</v>
      </c>
      <c r="M402">
        <v>2023</v>
      </c>
      <c r="N402" t="s">
        <v>1075</v>
      </c>
      <c r="O402">
        <v>3</v>
      </c>
    </row>
    <row r="403" spans="1:15" x14ac:dyDescent="0.25">
      <c r="A403" t="s">
        <v>429</v>
      </c>
      <c r="B403" t="s">
        <v>22</v>
      </c>
      <c r="C403">
        <v>127</v>
      </c>
      <c r="D403" t="s">
        <v>11</v>
      </c>
      <c r="E403">
        <v>160</v>
      </c>
      <c r="F403">
        <v>3.2</v>
      </c>
      <c r="G403" s="8">
        <v>45039</v>
      </c>
      <c r="H403">
        <v>2023</v>
      </c>
      <c r="I403">
        <v>2</v>
      </c>
      <c r="J403">
        <v>4</v>
      </c>
      <c r="K403" t="s">
        <v>1049</v>
      </c>
      <c r="L403" t="s">
        <v>1040</v>
      </c>
      <c r="M403">
        <v>2023</v>
      </c>
      <c r="N403" t="s">
        <v>1075</v>
      </c>
      <c r="O403">
        <v>3</v>
      </c>
    </row>
    <row r="404" spans="1:15" x14ac:dyDescent="0.25">
      <c r="A404" t="s">
        <v>430</v>
      </c>
      <c r="B404" t="s">
        <v>12</v>
      </c>
      <c r="C404">
        <v>50</v>
      </c>
      <c r="D404" t="s">
        <v>11</v>
      </c>
      <c r="E404">
        <v>56</v>
      </c>
      <c r="F404">
        <v>4.7</v>
      </c>
      <c r="G404" s="8">
        <v>45039</v>
      </c>
      <c r="H404">
        <v>2023</v>
      </c>
      <c r="I404">
        <v>2</v>
      </c>
      <c r="J404">
        <v>4</v>
      </c>
      <c r="K404" t="s">
        <v>1049</v>
      </c>
      <c r="L404" t="s">
        <v>1040</v>
      </c>
      <c r="M404">
        <v>2023</v>
      </c>
      <c r="N404" t="s">
        <v>1076</v>
      </c>
      <c r="O404">
        <v>5</v>
      </c>
    </row>
    <row r="405" spans="1:15" x14ac:dyDescent="0.25">
      <c r="A405" t="s">
        <v>431</v>
      </c>
      <c r="B405" t="s">
        <v>15</v>
      </c>
      <c r="C405">
        <v>88</v>
      </c>
      <c r="D405" t="s">
        <v>6</v>
      </c>
      <c r="E405">
        <v>72</v>
      </c>
      <c r="F405">
        <v>4</v>
      </c>
      <c r="G405" s="8">
        <v>45039</v>
      </c>
      <c r="H405">
        <v>2023</v>
      </c>
      <c r="I405">
        <v>2</v>
      </c>
      <c r="J405">
        <v>4</v>
      </c>
      <c r="K405" t="s">
        <v>1049</v>
      </c>
      <c r="L405" t="s">
        <v>1040</v>
      </c>
      <c r="M405">
        <v>2023</v>
      </c>
      <c r="N405" t="s">
        <v>1074</v>
      </c>
      <c r="O405">
        <v>4</v>
      </c>
    </row>
    <row r="406" spans="1:15" x14ac:dyDescent="0.25">
      <c r="A406" t="s">
        <v>432</v>
      </c>
      <c r="B406" t="s">
        <v>12</v>
      </c>
      <c r="C406">
        <v>139</v>
      </c>
      <c r="D406" t="s">
        <v>9</v>
      </c>
      <c r="E406">
        <v>81</v>
      </c>
      <c r="F406">
        <v>4.8</v>
      </c>
      <c r="G406" s="8">
        <v>45040</v>
      </c>
      <c r="H406">
        <v>2023</v>
      </c>
      <c r="I406">
        <v>2</v>
      </c>
      <c r="J406">
        <v>4</v>
      </c>
      <c r="K406" t="s">
        <v>1049</v>
      </c>
      <c r="L406" t="s">
        <v>1041</v>
      </c>
      <c r="M406">
        <v>2023</v>
      </c>
      <c r="N406" t="s">
        <v>1075</v>
      </c>
      <c r="O406">
        <v>5</v>
      </c>
    </row>
    <row r="407" spans="1:15" x14ac:dyDescent="0.25">
      <c r="A407" t="s">
        <v>433</v>
      </c>
      <c r="B407" t="s">
        <v>21</v>
      </c>
      <c r="C407">
        <v>111</v>
      </c>
      <c r="D407" t="s">
        <v>11</v>
      </c>
      <c r="E407">
        <v>144</v>
      </c>
      <c r="F407">
        <v>3.9</v>
      </c>
      <c r="G407" s="8">
        <v>45040</v>
      </c>
      <c r="H407">
        <v>2023</v>
      </c>
      <c r="I407">
        <v>2</v>
      </c>
      <c r="J407">
        <v>4</v>
      </c>
      <c r="K407" t="s">
        <v>1049</v>
      </c>
      <c r="L407" t="s">
        <v>1041</v>
      </c>
      <c r="M407">
        <v>2023</v>
      </c>
      <c r="N407" t="s">
        <v>1074</v>
      </c>
      <c r="O407">
        <v>4</v>
      </c>
    </row>
    <row r="408" spans="1:15" x14ac:dyDescent="0.25">
      <c r="A408" t="s">
        <v>434</v>
      </c>
      <c r="B408" t="s">
        <v>23</v>
      </c>
      <c r="C408">
        <v>115</v>
      </c>
      <c r="D408" t="s">
        <v>9</v>
      </c>
      <c r="E408">
        <v>111</v>
      </c>
      <c r="F408">
        <v>4.3</v>
      </c>
      <c r="G408" s="8">
        <v>45040</v>
      </c>
      <c r="H408">
        <v>2023</v>
      </c>
      <c r="I408">
        <v>2</v>
      </c>
      <c r="J408">
        <v>4</v>
      </c>
      <c r="K408" t="s">
        <v>1049</v>
      </c>
      <c r="L408" t="s">
        <v>1041</v>
      </c>
      <c r="M408">
        <v>2023</v>
      </c>
      <c r="N408" t="s">
        <v>1074</v>
      </c>
      <c r="O408">
        <v>4</v>
      </c>
    </row>
    <row r="409" spans="1:15" x14ac:dyDescent="0.25">
      <c r="A409" t="s">
        <v>435</v>
      </c>
      <c r="B409" t="s">
        <v>5</v>
      </c>
      <c r="C409">
        <v>26</v>
      </c>
      <c r="D409" t="s">
        <v>13</v>
      </c>
      <c r="E409">
        <v>43</v>
      </c>
      <c r="F409">
        <v>4.2</v>
      </c>
      <c r="G409" s="8">
        <v>45040</v>
      </c>
      <c r="H409">
        <v>2023</v>
      </c>
      <c r="I409">
        <v>2</v>
      </c>
      <c r="J409">
        <v>4</v>
      </c>
      <c r="K409" t="s">
        <v>1049</v>
      </c>
      <c r="L409" t="s">
        <v>1041</v>
      </c>
      <c r="M409">
        <v>2023</v>
      </c>
      <c r="N409" t="s">
        <v>1077</v>
      </c>
      <c r="O409">
        <v>4</v>
      </c>
    </row>
    <row r="410" spans="1:15" x14ac:dyDescent="0.25">
      <c r="A410" t="s">
        <v>436</v>
      </c>
      <c r="B410" t="s">
        <v>18</v>
      </c>
      <c r="C410">
        <v>131</v>
      </c>
      <c r="D410" t="s">
        <v>6</v>
      </c>
      <c r="E410">
        <v>41</v>
      </c>
      <c r="F410">
        <v>4.9000000000000004</v>
      </c>
      <c r="G410" s="8">
        <v>45040</v>
      </c>
      <c r="H410">
        <v>2023</v>
      </c>
      <c r="I410">
        <v>2</v>
      </c>
      <c r="J410">
        <v>4</v>
      </c>
      <c r="K410" t="s">
        <v>1049</v>
      </c>
      <c r="L410" t="s">
        <v>1041</v>
      </c>
      <c r="M410">
        <v>2023</v>
      </c>
      <c r="N410" t="s">
        <v>1075</v>
      </c>
      <c r="O410">
        <v>5</v>
      </c>
    </row>
    <row r="411" spans="1:15" x14ac:dyDescent="0.25">
      <c r="A411" t="s">
        <v>437</v>
      </c>
      <c r="B411" t="s">
        <v>23</v>
      </c>
      <c r="C411">
        <v>27</v>
      </c>
      <c r="D411" t="s">
        <v>6</v>
      </c>
      <c r="E411">
        <v>74</v>
      </c>
      <c r="F411">
        <v>4</v>
      </c>
      <c r="G411" s="8">
        <v>45040</v>
      </c>
      <c r="H411">
        <v>2023</v>
      </c>
      <c r="I411">
        <v>2</v>
      </c>
      <c r="J411">
        <v>4</v>
      </c>
      <c r="K411" t="s">
        <v>1049</v>
      </c>
      <c r="L411" t="s">
        <v>1041</v>
      </c>
      <c r="M411">
        <v>2023</v>
      </c>
      <c r="N411" t="s">
        <v>1077</v>
      </c>
      <c r="O411">
        <v>4</v>
      </c>
    </row>
    <row r="412" spans="1:15" x14ac:dyDescent="0.25">
      <c r="A412" t="s">
        <v>438</v>
      </c>
      <c r="B412" t="s">
        <v>16</v>
      </c>
      <c r="C412">
        <v>75</v>
      </c>
      <c r="D412" t="s">
        <v>11</v>
      </c>
      <c r="E412">
        <v>43</v>
      </c>
      <c r="F412">
        <v>4.9000000000000004</v>
      </c>
      <c r="G412" s="8">
        <v>45040</v>
      </c>
      <c r="H412">
        <v>2023</v>
      </c>
      <c r="I412">
        <v>2</v>
      </c>
      <c r="J412">
        <v>4</v>
      </c>
      <c r="K412" t="s">
        <v>1049</v>
      </c>
      <c r="L412" t="s">
        <v>1041</v>
      </c>
      <c r="M412">
        <v>2023</v>
      </c>
      <c r="N412" t="s">
        <v>1074</v>
      </c>
      <c r="O412">
        <v>5</v>
      </c>
    </row>
    <row r="413" spans="1:15" x14ac:dyDescent="0.25">
      <c r="A413" t="s">
        <v>439</v>
      </c>
      <c r="B413" t="s">
        <v>7</v>
      </c>
      <c r="C413">
        <v>123</v>
      </c>
      <c r="D413" t="s">
        <v>6</v>
      </c>
      <c r="E413">
        <v>128</v>
      </c>
      <c r="F413">
        <v>3.6</v>
      </c>
      <c r="G413" s="8">
        <v>45040</v>
      </c>
      <c r="H413">
        <v>2023</v>
      </c>
      <c r="I413">
        <v>2</v>
      </c>
      <c r="J413">
        <v>4</v>
      </c>
      <c r="K413" t="s">
        <v>1049</v>
      </c>
      <c r="L413" t="s">
        <v>1041</v>
      </c>
      <c r="M413">
        <v>2023</v>
      </c>
      <c r="N413" t="s">
        <v>1075</v>
      </c>
      <c r="O413">
        <v>4</v>
      </c>
    </row>
    <row r="414" spans="1:15" x14ac:dyDescent="0.25">
      <c r="A414" t="s">
        <v>440</v>
      </c>
      <c r="B414" t="s">
        <v>20</v>
      </c>
      <c r="C414">
        <v>129</v>
      </c>
      <c r="D414" t="s">
        <v>6</v>
      </c>
      <c r="E414">
        <v>144</v>
      </c>
      <c r="F414">
        <v>4.0999999999999996</v>
      </c>
      <c r="G414" s="8">
        <v>45041</v>
      </c>
      <c r="H414">
        <v>2023</v>
      </c>
      <c r="I414">
        <v>2</v>
      </c>
      <c r="J414">
        <v>4</v>
      </c>
      <c r="K414" t="s">
        <v>1049</v>
      </c>
      <c r="L414" t="s">
        <v>1042</v>
      </c>
      <c r="M414">
        <v>2023</v>
      </c>
      <c r="N414" t="s">
        <v>1075</v>
      </c>
      <c r="O414">
        <v>4</v>
      </c>
    </row>
    <row r="415" spans="1:15" x14ac:dyDescent="0.25">
      <c r="A415" t="s">
        <v>441</v>
      </c>
      <c r="B415" t="s">
        <v>16</v>
      </c>
      <c r="C415">
        <v>124</v>
      </c>
      <c r="D415" t="s">
        <v>9</v>
      </c>
      <c r="E415">
        <v>132</v>
      </c>
      <c r="F415">
        <v>4.9000000000000004</v>
      </c>
      <c r="G415" s="8">
        <v>45041</v>
      </c>
      <c r="H415">
        <v>2023</v>
      </c>
      <c r="I415">
        <v>2</v>
      </c>
      <c r="J415">
        <v>4</v>
      </c>
      <c r="K415" t="s">
        <v>1049</v>
      </c>
      <c r="L415" t="s">
        <v>1042</v>
      </c>
      <c r="M415">
        <v>2023</v>
      </c>
      <c r="N415" t="s">
        <v>1075</v>
      </c>
      <c r="O415">
        <v>5</v>
      </c>
    </row>
    <row r="416" spans="1:15" x14ac:dyDescent="0.25">
      <c r="A416" t="s">
        <v>442</v>
      </c>
      <c r="B416" t="s">
        <v>23</v>
      </c>
      <c r="C416">
        <v>108</v>
      </c>
      <c r="D416" t="s">
        <v>9</v>
      </c>
      <c r="E416">
        <v>180</v>
      </c>
      <c r="F416">
        <v>3.9</v>
      </c>
      <c r="G416" s="8">
        <v>45041</v>
      </c>
      <c r="H416">
        <v>2023</v>
      </c>
      <c r="I416">
        <v>2</v>
      </c>
      <c r="J416">
        <v>4</v>
      </c>
      <c r="K416" t="s">
        <v>1049</v>
      </c>
      <c r="L416" t="s">
        <v>1042</v>
      </c>
      <c r="M416">
        <v>2023</v>
      </c>
      <c r="N416" t="s">
        <v>1074</v>
      </c>
      <c r="O416">
        <v>4</v>
      </c>
    </row>
    <row r="417" spans="1:15" x14ac:dyDescent="0.25">
      <c r="A417" t="s">
        <v>443</v>
      </c>
      <c r="B417" t="s">
        <v>8</v>
      </c>
      <c r="C417">
        <v>15</v>
      </c>
      <c r="D417" t="s">
        <v>9</v>
      </c>
      <c r="E417">
        <v>31</v>
      </c>
      <c r="F417">
        <v>4.0999999999999996</v>
      </c>
      <c r="G417" s="8">
        <v>45041</v>
      </c>
      <c r="H417">
        <v>2023</v>
      </c>
      <c r="I417">
        <v>2</v>
      </c>
      <c r="J417">
        <v>4</v>
      </c>
      <c r="K417" t="s">
        <v>1049</v>
      </c>
      <c r="L417" t="s">
        <v>1042</v>
      </c>
      <c r="M417">
        <v>2023</v>
      </c>
      <c r="N417" t="s">
        <v>1077</v>
      </c>
      <c r="O417">
        <v>4</v>
      </c>
    </row>
    <row r="418" spans="1:15" x14ac:dyDescent="0.25">
      <c r="A418" t="s">
        <v>444</v>
      </c>
      <c r="B418" t="s">
        <v>23</v>
      </c>
      <c r="C418">
        <v>66</v>
      </c>
      <c r="D418" t="s">
        <v>9</v>
      </c>
      <c r="E418">
        <v>102</v>
      </c>
      <c r="F418">
        <v>3.8</v>
      </c>
      <c r="G418" s="8">
        <v>45041</v>
      </c>
      <c r="H418">
        <v>2023</v>
      </c>
      <c r="I418">
        <v>2</v>
      </c>
      <c r="J418">
        <v>4</v>
      </c>
      <c r="K418" t="s">
        <v>1049</v>
      </c>
      <c r="L418" t="s">
        <v>1042</v>
      </c>
      <c r="M418">
        <v>2023</v>
      </c>
      <c r="N418" t="s">
        <v>1074</v>
      </c>
      <c r="O418">
        <v>4</v>
      </c>
    </row>
    <row r="419" spans="1:15" x14ac:dyDescent="0.25">
      <c r="A419" t="s">
        <v>445</v>
      </c>
      <c r="B419" t="s">
        <v>15</v>
      </c>
      <c r="C419">
        <v>126</v>
      </c>
      <c r="D419" t="s">
        <v>11</v>
      </c>
      <c r="E419">
        <v>175</v>
      </c>
      <c r="F419">
        <v>4.8</v>
      </c>
      <c r="G419" s="8">
        <v>45042</v>
      </c>
      <c r="H419">
        <v>2023</v>
      </c>
      <c r="I419">
        <v>2</v>
      </c>
      <c r="J419">
        <v>4</v>
      </c>
      <c r="K419" t="s">
        <v>1049</v>
      </c>
      <c r="L419" t="s">
        <v>1043</v>
      </c>
      <c r="M419">
        <v>2023</v>
      </c>
      <c r="N419" t="s">
        <v>1075</v>
      </c>
      <c r="O419">
        <v>5</v>
      </c>
    </row>
    <row r="420" spans="1:15" x14ac:dyDescent="0.25">
      <c r="A420" t="s">
        <v>446</v>
      </c>
      <c r="B420" t="s">
        <v>16</v>
      </c>
      <c r="C420">
        <v>26</v>
      </c>
      <c r="D420" t="s">
        <v>10</v>
      </c>
      <c r="E420">
        <v>87</v>
      </c>
      <c r="F420">
        <v>4.7</v>
      </c>
      <c r="G420" s="8">
        <v>45042</v>
      </c>
      <c r="H420">
        <v>2023</v>
      </c>
      <c r="I420">
        <v>2</v>
      </c>
      <c r="J420">
        <v>4</v>
      </c>
      <c r="K420" t="s">
        <v>1049</v>
      </c>
      <c r="L420" t="s">
        <v>1043</v>
      </c>
      <c r="M420">
        <v>2023</v>
      </c>
      <c r="N420" t="s">
        <v>1077</v>
      </c>
      <c r="O420">
        <v>5</v>
      </c>
    </row>
    <row r="421" spans="1:15" x14ac:dyDescent="0.25">
      <c r="A421" t="s">
        <v>447</v>
      </c>
      <c r="B421" t="s">
        <v>24</v>
      </c>
      <c r="C421">
        <v>105</v>
      </c>
      <c r="D421" t="s">
        <v>11</v>
      </c>
      <c r="E421">
        <v>66</v>
      </c>
      <c r="F421">
        <v>4.2</v>
      </c>
      <c r="G421" s="8">
        <v>45042</v>
      </c>
      <c r="H421">
        <v>2023</v>
      </c>
      <c r="I421">
        <v>2</v>
      </c>
      <c r="J421">
        <v>4</v>
      </c>
      <c r="K421" t="s">
        <v>1049</v>
      </c>
      <c r="L421" t="s">
        <v>1043</v>
      </c>
      <c r="M421">
        <v>2023</v>
      </c>
      <c r="N421" t="s">
        <v>1074</v>
      </c>
      <c r="O421">
        <v>4</v>
      </c>
    </row>
    <row r="422" spans="1:15" x14ac:dyDescent="0.25">
      <c r="A422" t="s">
        <v>448</v>
      </c>
      <c r="B422" t="s">
        <v>24</v>
      </c>
      <c r="C422">
        <v>31</v>
      </c>
      <c r="D422" t="s">
        <v>11</v>
      </c>
      <c r="E422">
        <v>25</v>
      </c>
      <c r="F422">
        <v>3.2</v>
      </c>
      <c r="G422" s="8">
        <v>45042</v>
      </c>
      <c r="H422">
        <v>2023</v>
      </c>
      <c r="I422">
        <v>2</v>
      </c>
      <c r="J422">
        <v>4</v>
      </c>
      <c r="K422" t="s">
        <v>1049</v>
      </c>
      <c r="L422" t="s">
        <v>1043</v>
      </c>
      <c r="M422">
        <v>2023</v>
      </c>
      <c r="N422" t="s">
        <v>1076</v>
      </c>
      <c r="O422">
        <v>3</v>
      </c>
    </row>
    <row r="423" spans="1:15" x14ac:dyDescent="0.25">
      <c r="A423" t="s">
        <v>449</v>
      </c>
      <c r="B423" t="s">
        <v>23</v>
      </c>
      <c r="C423">
        <v>109</v>
      </c>
      <c r="D423" t="s">
        <v>9</v>
      </c>
      <c r="E423">
        <v>126</v>
      </c>
      <c r="F423">
        <v>3.4</v>
      </c>
      <c r="G423" s="8">
        <v>45042</v>
      </c>
      <c r="H423">
        <v>2023</v>
      </c>
      <c r="I423">
        <v>2</v>
      </c>
      <c r="J423">
        <v>4</v>
      </c>
      <c r="K423" t="s">
        <v>1049</v>
      </c>
      <c r="L423" t="s">
        <v>1043</v>
      </c>
      <c r="M423">
        <v>2023</v>
      </c>
      <c r="N423" t="s">
        <v>1074</v>
      </c>
      <c r="O423">
        <v>3</v>
      </c>
    </row>
    <row r="424" spans="1:15" x14ac:dyDescent="0.25">
      <c r="A424" t="s">
        <v>450</v>
      </c>
      <c r="B424" t="s">
        <v>20</v>
      </c>
      <c r="C424">
        <v>113</v>
      </c>
      <c r="D424" t="s">
        <v>13</v>
      </c>
      <c r="E424">
        <v>42</v>
      </c>
      <c r="F424">
        <v>4.5999999999999996</v>
      </c>
      <c r="G424" s="8">
        <v>45043</v>
      </c>
      <c r="H424">
        <v>2023</v>
      </c>
      <c r="I424">
        <v>2</v>
      </c>
      <c r="J424">
        <v>4</v>
      </c>
      <c r="K424" t="s">
        <v>1049</v>
      </c>
      <c r="L424" t="s">
        <v>1044</v>
      </c>
      <c r="M424">
        <v>2023</v>
      </c>
      <c r="N424" t="s">
        <v>1074</v>
      </c>
      <c r="O424">
        <v>5</v>
      </c>
    </row>
    <row r="425" spans="1:15" x14ac:dyDescent="0.25">
      <c r="A425" t="s">
        <v>451</v>
      </c>
      <c r="B425" t="s">
        <v>15</v>
      </c>
      <c r="C425">
        <v>101</v>
      </c>
      <c r="D425" t="s">
        <v>10</v>
      </c>
      <c r="E425">
        <v>225</v>
      </c>
      <c r="F425">
        <v>1.9</v>
      </c>
      <c r="G425" s="8">
        <v>45043</v>
      </c>
      <c r="H425">
        <v>2023</v>
      </c>
      <c r="I425">
        <v>2</v>
      </c>
      <c r="J425">
        <v>4</v>
      </c>
      <c r="K425" t="s">
        <v>1049</v>
      </c>
      <c r="L425" t="s">
        <v>1044</v>
      </c>
      <c r="M425">
        <v>2023</v>
      </c>
      <c r="N425" t="s">
        <v>1074</v>
      </c>
      <c r="O425">
        <v>2</v>
      </c>
    </row>
    <row r="426" spans="1:15" x14ac:dyDescent="0.25">
      <c r="A426" t="s">
        <v>452</v>
      </c>
      <c r="B426" t="s">
        <v>21</v>
      </c>
      <c r="C426">
        <v>156</v>
      </c>
      <c r="D426" t="s">
        <v>10</v>
      </c>
      <c r="E426">
        <v>42</v>
      </c>
      <c r="F426">
        <v>3.3</v>
      </c>
      <c r="G426" s="8">
        <v>45043</v>
      </c>
      <c r="H426">
        <v>2023</v>
      </c>
      <c r="I426">
        <v>2</v>
      </c>
      <c r="J426">
        <v>4</v>
      </c>
      <c r="K426" t="s">
        <v>1049</v>
      </c>
      <c r="L426" t="s">
        <v>1044</v>
      </c>
      <c r="M426">
        <v>2023</v>
      </c>
      <c r="N426" t="s">
        <v>1075</v>
      </c>
      <c r="O426">
        <v>3</v>
      </c>
    </row>
    <row r="427" spans="1:15" x14ac:dyDescent="0.25">
      <c r="A427" t="s">
        <v>453</v>
      </c>
      <c r="B427" t="s">
        <v>23</v>
      </c>
      <c r="C427">
        <v>145</v>
      </c>
      <c r="D427" t="s">
        <v>13</v>
      </c>
      <c r="E427">
        <v>110</v>
      </c>
      <c r="F427">
        <v>3.1</v>
      </c>
      <c r="G427" s="8">
        <v>45044</v>
      </c>
      <c r="H427">
        <v>2023</v>
      </c>
      <c r="I427">
        <v>2</v>
      </c>
      <c r="J427">
        <v>4</v>
      </c>
      <c r="K427" t="s">
        <v>1049</v>
      </c>
      <c r="L427" t="s">
        <v>1045</v>
      </c>
      <c r="M427">
        <v>2023</v>
      </c>
      <c r="N427" t="s">
        <v>1075</v>
      </c>
      <c r="O427">
        <v>3</v>
      </c>
    </row>
    <row r="428" spans="1:15" x14ac:dyDescent="0.25">
      <c r="A428" t="s">
        <v>454</v>
      </c>
      <c r="B428" t="s">
        <v>7</v>
      </c>
      <c r="C428">
        <v>36</v>
      </c>
      <c r="D428" t="s">
        <v>9</v>
      </c>
      <c r="E428">
        <v>225</v>
      </c>
      <c r="F428">
        <v>4.8</v>
      </c>
      <c r="G428" s="8">
        <v>45044</v>
      </c>
      <c r="H428">
        <v>2023</v>
      </c>
      <c r="I428">
        <v>2</v>
      </c>
      <c r="J428">
        <v>4</v>
      </c>
      <c r="K428" t="s">
        <v>1049</v>
      </c>
      <c r="L428" t="s">
        <v>1045</v>
      </c>
      <c r="M428">
        <v>2023</v>
      </c>
      <c r="N428" t="s">
        <v>1076</v>
      </c>
      <c r="O428">
        <v>5</v>
      </c>
    </row>
    <row r="429" spans="1:15" x14ac:dyDescent="0.25">
      <c r="A429" t="s">
        <v>455</v>
      </c>
      <c r="B429" t="s">
        <v>24</v>
      </c>
      <c r="C429">
        <v>135</v>
      </c>
      <c r="D429" t="s">
        <v>6</v>
      </c>
      <c r="E429">
        <v>125</v>
      </c>
      <c r="F429">
        <v>3.3</v>
      </c>
      <c r="G429" s="8">
        <v>45045</v>
      </c>
      <c r="H429">
        <v>2023</v>
      </c>
      <c r="I429">
        <v>2</v>
      </c>
      <c r="J429">
        <v>4</v>
      </c>
      <c r="K429" t="s">
        <v>1049</v>
      </c>
      <c r="L429" t="s">
        <v>1046</v>
      </c>
      <c r="M429">
        <v>2023</v>
      </c>
      <c r="N429" t="s">
        <v>1075</v>
      </c>
      <c r="O429">
        <v>3</v>
      </c>
    </row>
    <row r="430" spans="1:15" x14ac:dyDescent="0.25">
      <c r="A430" t="s">
        <v>456</v>
      </c>
      <c r="B430" t="s">
        <v>15</v>
      </c>
      <c r="C430">
        <v>81</v>
      </c>
      <c r="D430" t="s">
        <v>9</v>
      </c>
      <c r="E430">
        <v>78</v>
      </c>
      <c r="F430">
        <v>2.9</v>
      </c>
      <c r="G430" s="8">
        <v>45045</v>
      </c>
      <c r="H430">
        <v>2023</v>
      </c>
      <c r="I430">
        <v>2</v>
      </c>
      <c r="J430">
        <v>4</v>
      </c>
      <c r="K430" t="s">
        <v>1049</v>
      </c>
      <c r="L430" t="s">
        <v>1046</v>
      </c>
      <c r="M430">
        <v>2023</v>
      </c>
      <c r="N430" t="s">
        <v>1074</v>
      </c>
      <c r="O430">
        <v>3</v>
      </c>
    </row>
    <row r="431" spans="1:15" x14ac:dyDescent="0.25">
      <c r="A431" t="s">
        <v>457</v>
      </c>
      <c r="B431" t="s">
        <v>15</v>
      </c>
      <c r="C431">
        <v>81</v>
      </c>
      <c r="D431" t="s">
        <v>13</v>
      </c>
      <c r="E431">
        <v>40</v>
      </c>
      <c r="F431">
        <v>2.4</v>
      </c>
      <c r="G431" s="8">
        <v>45045</v>
      </c>
      <c r="H431">
        <v>2023</v>
      </c>
      <c r="I431">
        <v>2</v>
      </c>
      <c r="J431">
        <v>4</v>
      </c>
      <c r="K431" t="s">
        <v>1049</v>
      </c>
      <c r="L431" t="s">
        <v>1046</v>
      </c>
      <c r="M431">
        <v>2023</v>
      </c>
      <c r="N431" t="s">
        <v>1074</v>
      </c>
      <c r="O431">
        <v>2</v>
      </c>
    </row>
    <row r="432" spans="1:15" x14ac:dyDescent="0.25">
      <c r="A432" t="s">
        <v>458</v>
      </c>
      <c r="B432" t="s">
        <v>22</v>
      </c>
      <c r="C432">
        <v>93</v>
      </c>
      <c r="D432" t="s">
        <v>11</v>
      </c>
      <c r="E432">
        <v>150</v>
      </c>
      <c r="F432">
        <v>4.5999999999999996</v>
      </c>
      <c r="G432" s="8">
        <v>45045</v>
      </c>
      <c r="H432">
        <v>2023</v>
      </c>
      <c r="I432">
        <v>2</v>
      </c>
      <c r="J432">
        <v>4</v>
      </c>
      <c r="K432" t="s">
        <v>1049</v>
      </c>
      <c r="L432" t="s">
        <v>1046</v>
      </c>
      <c r="M432">
        <v>2023</v>
      </c>
      <c r="N432" t="s">
        <v>1074</v>
      </c>
      <c r="O432">
        <v>5</v>
      </c>
    </row>
    <row r="433" spans="1:15" x14ac:dyDescent="0.25">
      <c r="A433" t="s">
        <v>459</v>
      </c>
      <c r="B433" t="s">
        <v>23</v>
      </c>
      <c r="C433">
        <v>14</v>
      </c>
      <c r="D433" t="s">
        <v>9</v>
      </c>
      <c r="E433">
        <v>96</v>
      </c>
      <c r="F433">
        <v>4.8</v>
      </c>
      <c r="G433" s="8">
        <v>45045</v>
      </c>
      <c r="H433">
        <v>2023</v>
      </c>
      <c r="I433">
        <v>2</v>
      </c>
      <c r="J433">
        <v>4</v>
      </c>
      <c r="K433" t="s">
        <v>1049</v>
      </c>
      <c r="L433" t="s">
        <v>1046</v>
      </c>
      <c r="M433">
        <v>2023</v>
      </c>
      <c r="N433" t="s">
        <v>1077</v>
      </c>
      <c r="O433">
        <v>5</v>
      </c>
    </row>
    <row r="434" spans="1:15" x14ac:dyDescent="0.25">
      <c r="A434" t="s">
        <v>460</v>
      </c>
      <c r="B434" t="s">
        <v>24</v>
      </c>
      <c r="C434">
        <v>95</v>
      </c>
      <c r="D434" t="s">
        <v>13</v>
      </c>
      <c r="E434">
        <v>75</v>
      </c>
      <c r="F434">
        <v>4.8</v>
      </c>
      <c r="G434" s="8">
        <v>45046</v>
      </c>
      <c r="H434">
        <v>2023</v>
      </c>
      <c r="I434">
        <v>2</v>
      </c>
      <c r="J434">
        <v>4</v>
      </c>
      <c r="K434" t="s">
        <v>1049</v>
      </c>
      <c r="L434" t="s">
        <v>1040</v>
      </c>
      <c r="M434">
        <v>2023</v>
      </c>
      <c r="N434" t="s">
        <v>1074</v>
      </c>
      <c r="O434">
        <v>5</v>
      </c>
    </row>
    <row r="435" spans="1:15" x14ac:dyDescent="0.25">
      <c r="A435" t="s">
        <v>461</v>
      </c>
      <c r="B435" t="s">
        <v>22</v>
      </c>
      <c r="C435">
        <v>81</v>
      </c>
      <c r="D435" t="s">
        <v>13</v>
      </c>
      <c r="E435">
        <v>60</v>
      </c>
      <c r="F435">
        <v>3.6</v>
      </c>
      <c r="G435" s="8">
        <v>45046</v>
      </c>
      <c r="H435">
        <v>2023</v>
      </c>
      <c r="I435">
        <v>2</v>
      </c>
      <c r="J435">
        <v>4</v>
      </c>
      <c r="K435" t="s">
        <v>1049</v>
      </c>
      <c r="L435" t="s">
        <v>1040</v>
      </c>
      <c r="M435">
        <v>2023</v>
      </c>
      <c r="N435" t="s">
        <v>1074</v>
      </c>
      <c r="O435">
        <v>4</v>
      </c>
    </row>
    <row r="436" spans="1:15" x14ac:dyDescent="0.25">
      <c r="A436" t="s">
        <v>462</v>
      </c>
      <c r="B436" t="s">
        <v>5</v>
      </c>
      <c r="C436">
        <v>60</v>
      </c>
      <c r="D436" t="s">
        <v>9</v>
      </c>
      <c r="E436">
        <v>41</v>
      </c>
      <c r="F436">
        <v>4.8</v>
      </c>
      <c r="G436" s="8">
        <v>45047</v>
      </c>
      <c r="H436">
        <v>2023</v>
      </c>
      <c r="I436">
        <v>2</v>
      </c>
      <c r="J436">
        <v>5</v>
      </c>
      <c r="K436" t="s">
        <v>1050</v>
      </c>
      <c r="L436" t="s">
        <v>1041</v>
      </c>
      <c r="M436">
        <v>2023</v>
      </c>
      <c r="N436" t="s">
        <v>1076</v>
      </c>
      <c r="O436">
        <v>5</v>
      </c>
    </row>
    <row r="437" spans="1:15" x14ac:dyDescent="0.25">
      <c r="A437" t="s">
        <v>463</v>
      </c>
      <c r="B437" t="s">
        <v>14</v>
      </c>
      <c r="C437">
        <v>137</v>
      </c>
      <c r="D437" t="s">
        <v>11</v>
      </c>
      <c r="E437">
        <v>20</v>
      </c>
      <c r="F437">
        <v>4.2</v>
      </c>
      <c r="G437" s="8">
        <v>45047</v>
      </c>
      <c r="H437">
        <v>2023</v>
      </c>
      <c r="I437">
        <v>2</v>
      </c>
      <c r="J437">
        <v>5</v>
      </c>
      <c r="K437" t="s">
        <v>1050</v>
      </c>
      <c r="L437" t="s">
        <v>1041</v>
      </c>
      <c r="M437">
        <v>2023</v>
      </c>
      <c r="N437" t="s">
        <v>1075</v>
      </c>
      <c r="O437">
        <v>4</v>
      </c>
    </row>
    <row r="438" spans="1:15" x14ac:dyDescent="0.25">
      <c r="A438" t="s">
        <v>464</v>
      </c>
      <c r="B438" t="s">
        <v>12</v>
      </c>
      <c r="C438">
        <v>112</v>
      </c>
      <c r="D438" t="s">
        <v>6</v>
      </c>
      <c r="E438">
        <v>84</v>
      </c>
      <c r="F438">
        <v>2.6</v>
      </c>
      <c r="G438" s="8">
        <v>45047</v>
      </c>
      <c r="H438">
        <v>2023</v>
      </c>
      <c r="I438">
        <v>2</v>
      </c>
      <c r="J438">
        <v>5</v>
      </c>
      <c r="K438" t="s">
        <v>1050</v>
      </c>
      <c r="L438" t="s">
        <v>1041</v>
      </c>
      <c r="M438">
        <v>2023</v>
      </c>
      <c r="N438" t="s">
        <v>1074</v>
      </c>
      <c r="O438">
        <v>3</v>
      </c>
    </row>
    <row r="439" spans="1:15" x14ac:dyDescent="0.25">
      <c r="A439" t="s">
        <v>465</v>
      </c>
      <c r="B439" t="s">
        <v>24</v>
      </c>
      <c r="C439">
        <v>76</v>
      </c>
      <c r="D439" t="s">
        <v>10</v>
      </c>
      <c r="E439">
        <v>140</v>
      </c>
      <c r="F439">
        <v>3.7</v>
      </c>
      <c r="G439" s="8">
        <v>45047</v>
      </c>
      <c r="H439">
        <v>2023</v>
      </c>
      <c r="I439">
        <v>2</v>
      </c>
      <c r="J439">
        <v>5</v>
      </c>
      <c r="K439" t="s">
        <v>1050</v>
      </c>
      <c r="L439" t="s">
        <v>1041</v>
      </c>
      <c r="M439">
        <v>2023</v>
      </c>
      <c r="N439" t="s">
        <v>1074</v>
      </c>
      <c r="O439">
        <v>4</v>
      </c>
    </row>
    <row r="440" spans="1:15" x14ac:dyDescent="0.25">
      <c r="A440" t="s">
        <v>466</v>
      </c>
      <c r="B440" t="s">
        <v>19</v>
      </c>
      <c r="C440">
        <v>73</v>
      </c>
      <c r="D440" t="s">
        <v>9</v>
      </c>
      <c r="E440">
        <v>66</v>
      </c>
      <c r="F440">
        <v>4.8</v>
      </c>
      <c r="G440" s="8">
        <v>45047</v>
      </c>
      <c r="H440">
        <v>2023</v>
      </c>
      <c r="I440">
        <v>2</v>
      </c>
      <c r="J440">
        <v>5</v>
      </c>
      <c r="K440" t="s">
        <v>1050</v>
      </c>
      <c r="L440" t="s">
        <v>1041</v>
      </c>
      <c r="M440">
        <v>2023</v>
      </c>
      <c r="N440" t="s">
        <v>1074</v>
      </c>
      <c r="O440">
        <v>5</v>
      </c>
    </row>
    <row r="441" spans="1:15" x14ac:dyDescent="0.25">
      <c r="A441" t="s">
        <v>467</v>
      </c>
      <c r="B441" t="s">
        <v>18</v>
      </c>
      <c r="C441">
        <v>119</v>
      </c>
      <c r="D441" t="s">
        <v>11</v>
      </c>
      <c r="E441">
        <v>105</v>
      </c>
      <c r="F441">
        <v>4.7</v>
      </c>
      <c r="G441" s="8">
        <v>45047</v>
      </c>
      <c r="H441">
        <v>2023</v>
      </c>
      <c r="I441">
        <v>2</v>
      </c>
      <c r="J441">
        <v>5</v>
      </c>
      <c r="K441" t="s">
        <v>1050</v>
      </c>
      <c r="L441" t="s">
        <v>1041</v>
      </c>
      <c r="M441">
        <v>2023</v>
      </c>
      <c r="N441" t="s">
        <v>1074</v>
      </c>
      <c r="O441">
        <v>5</v>
      </c>
    </row>
    <row r="442" spans="1:15" x14ac:dyDescent="0.25">
      <c r="A442" t="s">
        <v>468</v>
      </c>
      <c r="B442" t="s">
        <v>20</v>
      </c>
      <c r="C442">
        <v>135</v>
      </c>
      <c r="D442" t="s">
        <v>13</v>
      </c>
      <c r="E442">
        <v>104</v>
      </c>
      <c r="F442">
        <v>4.0999999999999996</v>
      </c>
      <c r="G442" s="8">
        <v>45048</v>
      </c>
      <c r="H442">
        <v>2023</v>
      </c>
      <c r="I442">
        <v>2</v>
      </c>
      <c r="J442">
        <v>5</v>
      </c>
      <c r="K442" t="s">
        <v>1050</v>
      </c>
      <c r="L442" t="s">
        <v>1042</v>
      </c>
      <c r="M442">
        <v>2023</v>
      </c>
      <c r="N442" t="s">
        <v>1075</v>
      </c>
      <c r="O442">
        <v>4</v>
      </c>
    </row>
    <row r="443" spans="1:15" x14ac:dyDescent="0.25">
      <c r="A443" t="s">
        <v>469</v>
      </c>
      <c r="B443" t="s">
        <v>14</v>
      </c>
      <c r="C443">
        <v>41</v>
      </c>
      <c r="D443" t="s">
        <v>6</v>
      </c>
      <c r="E443">
        <v>123</v>
      </c>
      <c r="F443">
        <v>3.2</v>
      </c>
      <c r="G443" s="8">
        <v>45048</v>
      </c>
      <c r="H443">
        <v>2023</v>
      </c>
      <c r="I443">
        <v>2</v>
      </c>
      <c r="J443">
        <v>5</v>
      </c>
      <c r="K443" t="s">
        <v>1050</v>
      </c>
      <c r="L443" t="s">
        <v>1042</v>
      </c>
      <c r="M443">
        <v>2023</v>
      </c>
      <c r="N443" t="s">
        <v>1076</v>
      </c>
      <c r="O443">
        <v>3</v>
      </c>
    </row>
    <row r="444" spans="1:15" x14ac:dyDescent="0.25">
      <c r="A444" t="s">
        <v>470</v>
      </c>
      <c r="B444" t="s">
        <v>23</v>
      </c>
      <c r="C444">
        <v>35</v>
      </c>
      <c r="D444" t="s">
        <v>13</v>
      </c>
      <c r="E444">
        <v>215</v>
      </c>
      <c r="F444">
        <v>4.3</v>
      </c>
      <c r="G444" s="8">
        <v>45049</v>
      </c>
      <c r="H444">
        <v>2023</v>
      </c>
      <c r="I444">
        <v>2</v>
      </c>
      <c r="J444">
        <v>5</v>
      </c>
      <c r="K444" t="s">
        <v>1050</v>
      </c>
      <c r="L444" t="s">
        <v>1043</v>
      </c>
      <c r="M444">
        <v>2023</v>
      </c>
      <c r="N444" t="s">
        <v>1076</v>
      </c>
      <c r="O444">
        <v>4</v>
      </c>
    </row>
    <row r="445" spans="1:15" x14ac:dyDescent="0.25">
      <c r="A445" t="s">
        <v>472</v>
      </c>
      <c r="B445" t="s">
        <v>22</v>
      </c>
      <c r="C445">
        <v>61</v>
      </c>
      <c r="D445" t="s">
        <v>6</v>
      </c>
      <c r="E445">
        <v>115</v>
      </c>
      <c r="F445">
        <v>3.7</v>
      </c>
      <c r="G445" s="8">
        <v>45049</v>
      </c>
      <c r="H445">
        <v>2023</v>
      </c>
      <c r="I445">
        <v>2</v>
      </c>
      <c r="J445">
        <v>5</v>
      </c>
      <c r="K445" t="s">
        <v>1050</v>
      </c>
      <c r="L445" t="s">
        <v>1043</v>
      </c>
      <c r="M445">
        <v>2023</v>
      </c>
      <c r="N445" t="s">
        <v>1074</v>
      </c>
      <c r="O445">
        <v>4</v>
      </c>
    </row>
    <row r="446" spans="1:15" x14ac:dyDescent="0.25">
      <c r="A446" t="s">
        <v>473</v>
      </c>
      <c r="B446" t="s">
        <v>20</v>
      </c>
      <c r="C446">
        <v>91</v>
      </c>
      <c r="D446" t="s">
        <v>6</v>
      </c>
      <c r="E446">
        <v>124</v>
      </c>
      <c r="F446">
        <v>3.9</v>
      </c>
      <c r="G446" s="8">
        <v>45049</v>
      </c>
      <c r="H446">
        <v>2023</v>
      </c>
      <c r="I446">
        <v>2</v>
      </c>
      <c r="J446">
        <v>5</v>
      </c>
      <c r="K446" t="s">
        <v>1050</v>
      </c>
      <c r="L446" t="s">
        <v>1043</v>
      </c>
      <c r="M446">
        <v>2023</v>
      </c>
      <c r="N446" t="s">
        <v>1074</v>
      </c>
      <c r="O446">
        <v>4</v>
      </c>
    </row>
    <row r="447" spans="1:15" x14ac:dyDescent="0.25">
      <c r="A447" t="s">
        <v>474</v>
      </c>
      <c r="B447" t="s">
        <v>17</v>
      </c>
      <c r="C447">
        <v>30</v>
      </c>
      <c r="D447" t="s">
        <v>6</v>
      </c>
      <c r="E447">
        <v>205</v>
      </c>
      <c r="F447">
        <v>4.5</v>
      </c>
      <c r="G447" s="8">
        <v>45050</v>
      </c>
      <c r="H447">
        <v>2023</v>
      </c>
      <c r="I447">
        <v>2</v>
      </c>
      <c r="J447">
        <v>5</v>
      </c>
      <c r="K447" t="s">
        <v>1050</v>
      </c>
      <c r="L447" t="s">
        <v>1044</v>
      </c>
      <c r="M447">
        <v>2023</v>
      </c>
      <c r="N447" t="s">
        <v>1077</v>
      </c>
      <c r="O447">
        <v>4</v>
      </c>
    </row>
    <row r="448" spans="1:15" x14ac:dyDescent="0.25">
      <c r="A448" t="s">
        <v>475</v>
      </c>
      <c r="B448" t="s">
        <v>5</v>
      </c>
      <c r="C448">
        <v>111</v>
      </c>
      <c r="D448" t="s">
        <v>11</v>
      </c>
      <c r="E448">
        <v>90</v>
      </c>
      <c r="F448">
        <v>2.8</v>
      </c>
      <c r="G448" s="8">
        <v>45050</v>
      </c>
      <c r="H448">
        <v>2023</v>
      </c>
      <c r="I448">
        <v>2</v>
      </c>
      <c r="J448">
        <v>5</v>
      </c>
      <c r="K448" t="s">
        <v>1050</v>
      </c>
      <c r="L448" t="s">
        <v>1044</v>
      </c>
      <c r="M448">
        <v>2023</v>
      </c>
      <c r="N448" t="s">
        <v>1074</v>
      </c>
      <c r="O448">
        <v>3</v>
      </c>
    </row>
    <row r="449" spans="1:15" x14ac:dyDescent="0.25">
      <c r="A449" t="s">
        <v>476</v>
      </c>
      <c r="B449" t="s">
        <v>22</v>
      </c>
      <c r="C449">
        <v>81</v>
      </c>
      <c r="D449" t="s">
        <v>9</v>
      </c>
      <c r="E449">
        <v>92</v>
      </c>
      <c r="F449">
        <v>4.9000000000000004</v>
      </c>
      <c r="G449" s="8">
        <v>45050</v>
      </c>
      <c r="H449">
        <v>2023</v>
      </c>
      <c r="I449">
        <v>2</v>
      </c>
      <c r="J449">
        <v>5</v>
      </c>
      <c r="K449" t="s">
        <v>1050</v>
      </c>
      <c r="L449" t="s">
        <v>1044</v>
      </c>
      <c r="M449">
        <v>2023</v>
      </c>
      <c r="N449" t="s">
        <v>1074</v>
      </c>
      <c r="O449">
        <v>5</v>
      </c>
    </row>
    <row r="450" spans="1:15" x14ac:dyDescent="0.25">
      <c r="A450" t="s">
        <v>477</v>
      </c>
      <c r="B450" t="s">
        <v>24</v>
      </c>
      <c r="C450">
        <v>40</v>
      </c>
      <c r="D450" t="s">
        <v>13</v>
      </c>
      <c r="E450">
        <v>108</v>
      </c>
      <c r="F450">
        <v>4.2</v>
      </c>
      <c r="G450" s="8">
        <v>45052</v>
      </c>
      <c r="H450">
        <v>2023</v>
      </c>
      <c r="I450">
        <v>2</v>
      </c>
      <c r="J450">
        <v>5</v>
      </c>
      <c r="K450" t="s">
        <v>1050</v>
      </c>
      <c r="L450" t="s">
        <v>1046</v>
      </c>
      <c r="M450">
        <v>2023</v>
      </c>
      <c r="N450" t="s">
        <v>1076</v>
      </c>
      <c r="O450">
        <v>4</v>
      </c>
    </row>
    <row r="451" spans="1:15" x14ac:dyDescent="0.25">
      <c r="A451" t="s">
        <v>478</v>
      </c>
      <c r="B451" t="s">
        <v>5</v>
      </c>
      <c r="C451">
        <v>143</v>
      </c>
      <c r="D451" t="s">
        <v>13</v>
      </c>
      <c r="E451">
        <v>54</v>
      </c>
      <c r="F451">
        <v>4.4000000000000004</v>
      </c>
      <c r="G451" s="8">
        <v>45052</v>
      </c>
      <c r="H451">
        <v>2023</v>
      </c>
      <c r="I451">
        <v>2</v>
      </c>
      <c r="J451">
        <v>5</v>
      </c>
      <c r="K451" t="s">
        <v>1050</v>
      </c>
      <c r="L451" t="s">
        <v>1046</v>
      </c>
      <c r="M451">
        <v>2023</v>
      </c>
      <c r="N451" t="s">
        <v>1075</v>
      </c>
      <c r="O451">
        <v>4</v>
      </c>
    </row>
    <row r="452" spans="1:15" x14ac:dyDescent="0.25">
      <c r="A452" t="s">
        <v>479</v>
      </c>
      <c r="B452" t="s">
        <v>24</v>
      </c>
      <c r="C452">
        <v>70</v>
      </c>
      <c r="D452" t="s">
        <v>13</v>
      </c>
      <c r="E452">
        <v>44</v>
      </c>
      <c r="F452">
        <v>3.5</v>
      </c>
      <c r="G452" s="8">
        <v>45053</v>
      </c>
      <c r="H452">
        <v>2023</v>
      </c>
      <c r="I452">
        <v>2</v>
      </c>
      <c r="J452">
        <v>5</v>
      </c>
      <c r="K452" t="s">
        <v>1050</v>
      </c>
      <c r="L452" t="s">
        <v>1040</v>
      </c>
      <c r="M452">
        <v>2023</v>
      </c>
      <c r="N452" t="s">
        <v>1074</v>
      </c>
      <c r="O452">
        <v>4</v>
      </c>
    </row>
    <row r="453" spans="1:15" x14ac:dyDescent="0.25">
      <c r="A453" t="s">
        <v>480</v>
      </c>
      <c r="B453" t="s">
        <v>19</v>
      </c>
      <c r="C453">
        <v>137</v>
      </c>
      <c r="D453" t="s">
        <v>13</v>
      </c>
      <c r="E453">
        <v>44</v>
      </c>
      <c r="F453">
        <v>4.7</v>
      </c>
      <c r="G453" s="8">
        <v>45053</v>
      </c>
      <c r="H453">
        <v>2023</v>
      </c>
      <c r="I453">
        <v>2</v>
      </c>
      <c r="J453">
        <v>5</v>
      </c>
      <c r="K453" t="s">
        <v>1050</v>
      </c>
      <c r="L453" t="s">
        <v>1040</v>
      </c>
      <c r="M453">
        <v>2023</v>
      </c>
      <c r="N453" t="s">
        <v>1075</v>
      </c>
      <c r="O453">
        <v>5</v>
      </c>
    </row>
    <row r="454" spans="1:15" x14ac:dyDescent="0.25">
      <c r="A454" t="s">
        <v>481</v>
      </c>
      <c r="B454" t="s">
        <v>20</v>
      </c>
      <c r="C454">
        <v>52</v>
      </c>
      <c r="D454" t="s">
        <v>9</v>
      </c>
      <c r="E454">
        <v>37</v>
      </c>
      <c r="F454">
        <v>4.9000000000000004</v>
      </c>
      <c r="G454" s="8">
        <v>45054</v>
      </c>
      <c r="H454">
        <v>2023</v>
      </c>
      <c r="I454">
        <v>2</v>
      </c>
      <c r="J454">
        <v>5</v>
      </c>
      <c r="K454" t="s">
        <v>1050</v>
      </c>
      <c r="L454" t="s">
        <v>1041</v>
      </c>
      <c r="M454">
        <v>2023</v>
      </c>
      <c r="N454" t="s">
        <v>1076</v>
      </c>
      <c r="O454">
        <v>5</v>
      </c>
    </row>
    <row r="455" spans="1:15" x14ac:dyDescent="0.25">
      <c r="A455" t="s">
        <v>482</v>
      </c>
      <c r="B455" t="s">
        <v>12</v>
      </c>
      <c r="C455">
        <v>31</v>
      </c>
      <c r="D455" t="s">
        <v>11</v>
      </c>
      <c r="E455">
        <v>180</v>
      </c>
      <c r="F455">
        <v>4.5</v>
      </c>
      <c r="G455" s="8">
        <v>45054</v>
      </c>
      <c r="H455">
        <v>2023</v>
      </c>
      <c r="I455">
        <v>2</v>
      </c>
      <c r="J455">
        <v>5</v>
      </c>
      <c r="K455" t="s">
        <v>1050</v>
      </c>
      <c r="L455" t="s">
        <v>1041</v>
      </c>
      <c r="M455">
        <v>2023</v>
      </c>
      <c r="N455" t="s">
        <v>1076</v>
      </c>
      <c r="O455">
        <v>4</v>
      </c>
    </row>
    <row r="456" spans="1:15" x14ac:dyDescent="0.25">
      <c r="A456" t="s">
        <v>483</v>
      </c>
      <c r="B456" t="s">
        <v>20</v>
      </c>
      <c r="C456">
        <v>114</v>
      </c>
      <c r="D456" t="s">
        <v>6</v>
      </c>
      <c r="E456">
        <v>105</v>
      </c>
      <c r="F456">
        <v>4.9000000000000004</v>
      </c>
      <c r="G456" s="8">
        <v>45054</v>
      </c>
      <c r="H456">
        <v>2023</v>
      </c>
      <c r="I456">
        <v>2</v>
      </c>
      <c r="J456">
        <v>5</v>
      </c>
      <c r="K456" t="s">
        <v>1050</v>
      </c>
      <c r="L456" t="s">
        <v>1041</v>
      </c>
      <c r="M456">
        <v>2023</v>
      </c>
      <c r="N456" t="s">
        <v>1074</v>
      </c>
      <c r="O456">
        <v>5</v>
      </c>
    </row>
    <row r="457" spans="1:15" x14ac:dyDescent="0.25">
      <c r="A457" t="s">
        <v>484</v>
      </c>
      <c r="B457" t="s">
        <v>19</v>
      </c>
      <c r="C457">
        <v>73</v>
      </c>
      <c r="D457" t="s">
        <v>10</v>
      </c>
      <c r="E457">
        <v>87</v>
      </c>
      <c r="F457">
        <v>3.6</v>
      </c>
      <c r="G457" s="8">
        <v>45054</v>
      </c>
      <c r="H457">
        <v>2023</v>
      </c>
      <c r="I457">
        <v>2</v>
      </c>
      <c r="J457">
        <v>5</v>
      </c>
      <c r="K457" t="s">
        <v>1050</v>
      </c>
      <c r="L457" t="s">
        <v>1041</v>
      </c>
      <c r="M457">
        <v>2023</v>
      </c>
      <c r="N457" t="s">
        <v>1074</v>
      </c>
      <c r="O457">
        <v>4</v>
      </c>
    </row>
    <row r="458" spans="1:15" x14ac:dyDescent="0.25">
      <c r="A458" t="s">
        <v>485</v>
      </c>
      <c r="B458" t="s">
        <v>22</v>
      </c>
      <c r="C458">
        <v>25</v>
      </c>
      <c r="D458" t="s">
        <v>11</v>
      </c>
      <c r="E458">
        <v>52</v>
      </c>
      <c r="F458">
        <v>3.8</v>
      </c>
      <c r="G458" s="8">
        <v>45054</v>
      </c>
      <c r="H458">
        <v>2023</v>
      </c>
      <c r="I458">
        <v>2</v>
      </c>
      <c r="J458">
        <v>5</v>
      </c>
      <c r="K458" t="s">
        <v>1050</v>
      </c>
      <c r="L458" t="s">
        <v>1041</v>
      </c>
      <c r="M458">
        <v>2023</v>
      </c>
      <c r="N458" t="s">
        <v>1077</v>
      </c>
      <c r="O458">
        <v>4</v>
      </c>
    </row>
    <row r="459" spans="1:15" x14ac:dyDescent="0.25">
      <c r="A459" t="s">
        <v>486</v>
      </c>
      <c r="B459" t="s">
        <v>8</v>
      </c>
      <c r="C459">
        <v>44</v>
      </c>
      <c r="D459" t="s">
        <v>6</v>
      </c>
      <c r="E459">
        <v>63</v>
      </c>
      <c r="F459">
        <v>3.5</v>
      </c>
      <c r="G459" s="8">
        <v>45054</v>
      </c>
      <c r="H459">
        <v>2023</v>
      </c>
      <c r="I459">
        <v>2</v>
      </c>
      <c r="J459">
        <v>5</v>
      </c>
      <c r="K459" t="s">
        <v>1050</v>
      </c>
      <c r="L459" t="s">
        <v>1041</v>
      </c>
      <c r="M459">
        <v>2023</v>
      </c>
      <c r="N459" t="s">
        <v>1076</v>
      </c>
      <c r="O459">
        <v>4</v>
      </c>
    </row>
    <row r="460" spans="1:15" x14ac:dyDescent="0.25">
      <c r="A460" t="s">
        <v>487</v>
      </c>
      <c r="B460" t="s">
        <v>7</v>
      </c>
      <c r="C460">
        <v>34</v>
      </c>
      <c r="D460" t="s">
        <v>9</v>
      </c>
      <c r="E460">
        <v>195</v>
      </c>
      <c r="F460">
        <v>4.8</v>
      </c>
      <c r="G460" s="8">
        <v>45055</v>
      </c>
      <c r="H460">
        <v>2023</v>
      </c>
      <c r="I460">
        <v>2</v>
      </c>
      <c r="J460">
        <v>5</v>
      </c>
      <c r="K460" t="s">
        <v>1050</v>
      </c>
      <c r="L460" t="s">
        <v>1042</v>
      </c>
      <c r="M460">
        <v>2023</v>
      </c>
      <c r="N460" t="s">
        <v>1076</v>
      </c>
      <c r="O460">
        <v>5</v>
      </c>
    </row>
    <row r="461" spans="1:15" x14ac:dyDescent="0.25">
      <c r="A461" t="s">
        <v>488</v>
      </c>
      <c r="B461" t="s">
        <v>5</v>
      </c>
      <c r="C461">
        <v>89</v>
      </c>
      <c r="D461" t="s">
        <v>13</v>
      </c>
      <c r="E461">
        <v>176</v>
      </c>
      <c r="F461">
        <v>4.5</v>
      </c>
      <c r="G461" s="8">
        <v>45056</v>
      </c>
      <c r="H461">
        <v>2023</v>
      </c>
      <c r="I461">
        <v>2</v>
      </c>
      <c r="J461">
        <v>5</v>
      </c>
      <c r="K461" t="s">
        <v>1050</v>
      </c>
      <c r="L461" t="s">
        <v>1043</v>
      </c>
      <c r="M461">
        <v>2023</v>
      </c>
      <c r="N461" t="s">
        <v>1074</v>
      </c>
      <c r="O461">
        <v>4</v>
      </c>
    </row>
    <row r="462" spans="1:15" x14ac:dyDescent="0.25">
      <c r="A462" t="s">
        <v>489</v>
      </c>
      <c r="B462" t="s">
        <v>18</v>
      </c>
      <c r="C462">
        <v>54</v>
      </c>
      <c r="D462" t="s">
        <v>11</v>
      </c>
      <c r="E462">
        <v>31</v>
      </c>
      <c r="F462">
        <v>3.3</v>
      </c>
      <c r="G462" s="8">
        <v>45057</v>
      </c>
      <c r="H462">
        <v>2023</v>
      </c>
      <c r="I462">
        <v>2</v>
      </c>
      <c r="J462">
        <v>5</v>
      </c>
      <c r="K462" t="s">
        <v>1050</v>
      </c>
      <c r="L462" t="s">
        <v>1044</v>
      </c>
      <c r="M462">
        <v>2023</v>
      </c>
      <c r="N462" t="s">
        <v>1076</v>
      </c>
      <c r="O462">
        <v>3</v>
      </c>
    </row>
    <row r="463" spans="1:15" x14ac:dyDescent="0.25">
      <c r="A463" t="s">
        <v>490</v>
      </c>
      <c r="B463" t="s">
        <v>23</v>
      </c>
      <c r="C463">
        <v>25</v>
      </c>
      <c r="D463" t="s">
        <v>11</v>
      </c>
      <c r="E463">
        <v>27</v>
      </c>
      <c r="F463">
        <v>3.2</v>
      </c>
      <c r="G463" s="8">
        <v>45058</v>
      </c>
      <c r="H463">
        <v>2023</v>
      </c>
      <c r="I463">
        <v>2</v>
      </c>
      <c r="J463">
        <v>5</v>
      </c>
      <c r="K463" t="s">
        <v>1050</v>
      </c>
      <c r="L463" t="s">
        <v>1045</v>
      </c>
      <c r="M463">
        <v>2023</v>
      </c>
      <c r="N463" t="s">
        <v>1077</v>
      </c>
      <c r="O463">
        <v>3</v>
      </c>
    </row>
    <row r="464" spans="1:15" x14ac:dyDescent="0.25">
      <c r="A464" t="s">
        <v>491</v>
      </c>
      <c r="B464" t="s">
        <v>14</v>
      </c>
      <c r="C464">
        <v>91</v>
      </c>
      <c r="D464" t="s">
        <v>13</v>
      </c>
      <c r="E464">
        <v>76</v>
      </c>
      <c r="F464">
        <v>4.9000000000000004</v>
      </c>
      <c r="G464" s="8">
        <v>45058</v>
      </c>
      <c r="H464">
        <v>2023</v>
      </c>
      <c r="I464">
        <v>2</v>
      </c>
      <c r="J464">
        <v>5</v>
      </c>
      <c r="K464" t="s">
        <v>1050</v>
      </c>
      <c r="L464" t="s">
        <v>1045</v>
      </c>
      <c r="M464">
        <v>2023</v>
      </c>
      <c r="N464" t="s">
        <v>1074</v>
      </c>
      <c r="O464">
        <v>5</v>
      </c>
    </row>
    <row r="465" spans="1:15" x14ac:dyDescent="0.25">
      <c r="A465" t="s">
        <v>492</v>
      </c>
      <c r="B465" t="s">
        <v>8</v>
      </c>
      <c r="C465">
        <v>144</v>
      </c>
      <c r="D465" t="s">
        <v>6</v>
      </c>
      <c r="E465">
        <v>62</v>
      </c>
      <c r="F465">
        <v>4.8</v>
      </c>
      <c r="G465" s="8">
        <v>45058</v>
      </c>
      <c r="H465">
        <v>2023</v>
      </c>
      <c r="I465">
        <v>2</v>
      </c>
      <c r="J465">
        <v>5</v>
      </c>
      <c r="K465" t="s">
        <v>1050</v>
      </c>
      <c r="L465" t="s">
        <v>1045</v>
      </c>
      <c r="M465">
        <v>2023</v>
      </c>
      <c r="N465" t="s">
        <v>1075</v>
      </c>
      <c r="O465">
        <v>5</v>
      </c>
    </row>
    <row r="466" spans="1:15" x14ac:dyDescent="0.25">
      <c r="A466" t="s">
        <v>493</v>
      </c>
      <c r="B466" t="s">
        <v>14</v>
      </c>
      <c r="C466">
        <v>81</v>
      </c>
      <c r="D466" t="s">
        <v>9</v>
      </c>
      <c r="E466">
        <v>100</v>
      </c>
      <c r="F466">
        <v>1.3</v>
      </c>
      <c r="G466" s="8">
        <v>45060</v>
      </c>
      <c r="H466">
        <v>2023</v>
      </c>
      <c r="I466">
        <v>2</v>
      </c>
      <c r="J466">
        <v>5</v>
      </c>
      <c r="K466" t="s">
        <v>1050</v>
      </c>
      <c r="L466" t="s">
        <v>1040</v>
      </c>
      <c r="M466">
        <v>2023</v>
      </c>
      <c r="N466" t="s">
        <v>1074</v>
      </c>
      <c r="O466">
        <v>1</v>
      </c>
    </row>
    <row r="467" spans="1:15" x14ac:dyDescent="0.25">
      <c r="A467" t="s">
        <v>494</v>
      </c>
      <c r="B467" t="s">
        <v>17</v>
      </c>
      <c r="C467">
        <v>92</v>
      </c>
      <c r="D467" t="s">
        <v>11</v>
      </c>
      <c r="E467">
        <v>44</v>
      </c>
      <c r="F467">
        <v>3.1</v>
      </c>
      <c r="G467" s="8">
        <v>45060</v>
      </c>
      <c r="H467">
        <v>2023</v>
      </c>
      <c r="I467">
        <v>2</v>
      </c>
      <c r="J467">
        <v>5</v>
      </c>
      <c r="K467" t="s">
        <v>1050</v>
      </c>
      <c r="L467" t="s">
        <v>1040</v>
      </c>
      <c r="M467">
        <v>2023</v>
      </c>
      <c r="N467" t="s">
        <v>1074</v>
      </c>
      <c r="O467">
        <v>3</v>
      </c>
    </row>
    <row r="468" spans="1:15" x14ac:dyDescent="0.25">
      <c r="A468" t="s">
        <v>495</v>
      </c>
      <c r="B468" t="s">
        <v>23</v>
      </c>
      <c r="C468">
        <v>115</v>
      </c>
      <c r="D468" t="s">
        <v>13</v>
      </c>
      <c r="E468">
        <v>168</v>
      </c>
      <c r="F468">
        <v>3.4</v>
      </c>
      <c r="G468" s="8">
        <v>45060</v>
      </c>
      <c r="H468">
        <v>2023</v>
      </c>
      <c r="I468">
        <v>2</v>
      </c>
      <c r="J468">
        <v>5</v>
      </c>
      <c r="K468" t="s">
        <v>1050</v>
      </c>
      <c r="L468" t="s">
        <v>1040</v>
      </c>
      <c r="M468">
        <v>2023</v>
      </c>
      <c r="N468" t="s">
        <v>1074</v>
      </c>
      <c r="O468">
        <v>3</v>
      </c>
    </row>
    <row r="469" spans="1:15" x14ac:dyDescent="0.25">
      <c r="A469" t="s">
        <v>496</v>
      </c>
      <c r="B469" t="s">
        <v>15</v>
      </c>
      <c r="C469">
        <v>56</v>
      </c>
      <c r="D469" t="s">
        <v>13</v>
      </c>
      <c r="E469">
        <v>200</v>
      </c>
      <c r="F469">
        <v>4.5999999999999996</v>
      </c>
      <c r="G469" s="8">
        <v>45061</v>
      </c>
      <c r="H469">
        <v>2023</v>
      </c>
      <c r="I469">
        <v>2</v>
      </c>
      <c r="J469">
        <v>5</v>
      </c>
      <c r="K469" t="s">
        <v>1050</v>
      </c>
      <c r="L469" t="s">
        <v>1041</v>
      </c>
      <c r="M469">
        <v>2023</v>
      </c>
      <c r="N469" t="s">
        <v>1076</v>
      </c>
      <c r="O469">
        <v>5</v>
      </c>
    </row>
    <row r="470" spans="1:15" x14ac:dyDescent="0.25">
      <c r="A470" t="s">
        <v>497</v>
      </c>
      <c r="B470" t="s">
        <v>12</v>
      </c>
      <c r="C470">
        <v>154</v>
      </c>
      <c r="D470" t="s">
        <v>11</v>
      </c>
      <c r="E470">
        <v>84</v>
      </c>
      <c r="F470">
        <v>4.3</v>
      </c>
      <c r="G470" s="8">
        <v>45061</v>
      </c>
      <c r="H470">
        <v>2023</v>
      </c>
      <c r="I470">
        <v>2</v>
      </c>
      <c r="J470">
        <v>5</v>
      </c>
      <c r="K470" t="s">
        <v>1050</v>
      </c>
      <c r="L470" t="s">
        <v>1041</v>
      </c>
      <c r="M470">
        <v>2023</v>
      </c>
      <c r="N470" t="s">
        <v>1075</v>
      </c>
      <c r="O470">
        <v>4</v>
      </c>
    </row>
    <row r="471" spans="1:15" x14ac:dyDescent="0.25">
      <c r="A471" t="s">
        <v>498</v>
      </c>
      <c r="B471" t="s">
        <v>5</v>
      </c>
      <c r="C471">
        <v>51</v>
      </c>
      <c r="D471" t="s">
        <v>13</v>
      </c>
      <c r="E471">
        <v>117</v>
      </c>
      <c r="F471">
        <v>2.7</v>
      </c>
      <c r="G471" s="8">
        <v>45062</v>
      </c>
      <c r="H471">
        <v>2023</v>
      </c>
      <c r="I471">
        <v>2</v>
      </c>
      <c r="J471">
        <v>5</v>
      </c>
      <c r="K471" t="s">
        <v>1050</v>
      </c>
      <c r="L471" t="s">
        <v>1042</v>
      </c>
      <c r="M471">
        <v>2023</v>
      </c>
      <c r="N471" t="s">
        <v>1076</v>
      </c>
      <c r="O471">
        <v>3</v>
      </c>
    </row>
    <row r="472" spans="1:15" x14ac:dyDescent="0.25">
      <c r="A472" t="s">
        <v>499</v>
      </c>
      <c r="B472" t="s">
        <v>7</v>
      </c>
      <c r="C472">
        <v>21</v>
      </c>
      <c r="D472" t="s">
        <v>9</v>
      </c>
      <c r="E472">
        <v>63</v>
      </c>
      <c r="F472">
        <v>4.2</v>
      </c>
      <c r="G472" s="8">
        <v>45062</v>
      </c>
      <c r="H472">
        <v>2023</v>
      </c>
      <c r="I472">
        <v>2</v>
      </c>
      <c r="J472">
        <v>5</v>
      </c>
      <c r="K472" t="s">
        <v>1050</v>
      </c>
      <c r="L472" t="s">
        <v>1042</v>
      </c>
      <c r="M472">
        <v>2023</v>
      </c>
      <c r="N472" t="s">
        <v>1077</v>
      </c>
      <c r="O472">
        <v>4</v>
      </c>
    </row>
    <row r="473" spans="1:15" x14ac:dyDescent="0.25">
      <c r="A473" t="s">
        <v>500</v>
      </c>
      <c r="B473" t="s">
        <v>23</v>
      </c>
      <c r="C473">
        <v>80</v>
      </c>
      <c r="D473" t="s">
        <v>13</v>
      </c>
      <c r="E473">
        <v>145</v>
      </c>
      <c r="F473">
        <v>4.9000000000000004</v>
      </c>
      <c r="G473" s="8">
        <v>45063</v>
      </c>
      <c r="H473">
        <v>2023</v>
      </c>
      <c r="I473">
        <v>2</v>
      </c>
      <c r="J473">
        <v>5</v>
      </c>
      <c r="K473" t="s">
        <v>1050</v>
      </c>
      <c r="L473" t="s">
        <v>1043</v>
      </c>
      <c r="M473">
        <v>2023</v>
      </c>
      <c r="N473" t="s">
        <v>1074</v>
      </c>
      <c r="O473">
        <v>5</v>
      </c>
    </row>
    <row r="474" spans="1:15" x14ac:dyDescent="0.25">
      <c r="A474" t="s">
        <v>501</v>
      </c>
      <c r="B474" t="s">
        <v>5</v>
      </c>
      <c r="C474">
        <v>139</v>
      </c>
      <c r="D474" t="s">
        <v>11</v>
      </c>
      <c r="E474">
        <v>220</v>
      </c>
      <c r="F474">
        <v>3.2</v>
      </c>
      <c r="G474" s="8">
        <v>45063</v>
      </c>
      <c r="H474">
        <v>2023</v>
      </c>
      <c r="I474">
        <v>2</v>
      </c>
      <c r="J474">
        <v>5</v>
      </c>
      <c r="K474" t="s">
        <v>1050</v>
      </c>
      <c r="L474" t="s">
        <v>1043</v>
      </c>
      <c r="M474">
        <v>2023</v>
      </c>
      <c r="N474" t="s">
        <v>1075</v>
      </c>
      <c r="O474">
        <v>3</v>
      </c>
    </row>
    <row r="475" spans="1:15" x14ac:dyDescent="0.25">
      <c r="A475" t="s">
        <v>502</v>
      </c>
      <c r="B475" t="s">
        <v>24</v>
      </c>
      <c r="C475">
        <v>50</v>
      </c>
      <c r="D475" t="s">
        <v>9</v>
      </c>
      <c r="E475">
        <v>26</v>
      </c>
      <c r="F475">
        <v>4.7</v>
      </c>
      <c r="G475" s="8">
        <v>45063</v>
      </c>
      <c r="H475">
        <v>2023</v>
      </c>
      <c r="I475">
        <v>2</v>
      </c>
      <c r="J475">
        <v>5</v>
      </c>
      <c r="K475" t="s">
        <v>1050</v>
      </c>
      <c r="L475" t="s">
        <v>1043</v>
      </c>
      <c r="M475">
        <v>2023</v>
      </c>
      <c r="N475" t="s">
        <v>1076</v>
      </c>
      <c r="O475">
        <v>5</v>
      </c>
    </row>
    <row r="476" spans="1:15" x14ac:dyDescent="0.25">
      <c r="A476" t="s">
        <v>503</v>
      </c>
      <c r="B476" t="s">
        <v>23</v>
      </c>
      <c r="C476">
        <v>88</v>
      </c>
      <c r="D476" t="s">
        <v>13</v>
      </c>
      <c r="E476">
        <v>78</v>
      </c>
      <c r="F476">
        <v>4.3</v>
      </c>
      <c r="G476" s="8">
        <v>45063</v>
      </c>
      <c r="H476">
        <v>2023</v>
      </c>
      <c r="I476">
        <v>2</v>
      </c>
      <c r="J476">
        <v>5</v>
      </c>
      <c r="K476" t="s">
        <v>1050</v>
      </c>
      <c r="L476" t="s">
        <v>1043</v>
      </c>
      <c r="M476">
        <v>2023</v>
      </c>
      <c r="N476" t="s">
        <v>1074</v>
      </c>
      <c r="O476">
        <v>4</v>
      </c>
    </row>
    <row r="477" spans="1:15" x14ac:dyDescent="0.25">
      <c r="A477" t="s">
        <v>504</v>
      </c>
      <c r="B477" t="s">
        <v>18</v>
      </c>
      <c r="C477">
        <v>19</v>
      </c>
      <c r="D477" t="s">
        <v>6</v>
      </c>
      <c r="E477">
        <v>132</v>
      </c>
      <c r="F477">
        <v>4.3</v>
      </c>
      <c r="G477" s="8">
        <v>45064</v>
      </c>
      <c r="H477">
        <v>2023</v>
      </c>
      <c r="I477">
        <v>2</v>
      </c>
      <c r="J477">
        <v>5</v>
      </c>
      <c r="K477" t="s">
        <v>1050</v>
      </c>
      <c r="L477" t="s">
        <v>1044</v>
      </c>
      <c r="M477">
        <v>2023</v>
      </c>
      <c r="N477" t="s">
        <v>1077</v>
      </c>
      <c r="O477">
        <v>4</v>
      </c>
    </row>
    <row r="478" spans="1:15" x14ac:dyDescent="0.25">
      <c r="A478" t="s">
        <v>505</v>
      </c>
      <c r="B478" t="s">
        <v>22</v>
      </c>
      <c r="C478">
        <v>104</v>
      </c>
      <c r="D478" t="s">
        <v>6</v>
      </c>
      <c r="E478">
        <v>68</v>
      </c>
      <c r="F478">
        <v>3.7</v>
      </c>
      <c r="G478" s="8">
        <v>45065</v>
      </c>
      <c r="H478">
        <v>2023</v>
      </c>
      <c r="I478">
        <v>2</v>
      </c>
      <c r="J478">
        <v>5</v>
      </c>
      <c r="K478" t="s">
        <v>1050</v>
      </c>
      <c r="L478" t="s">
        <v>1045</v>
      </c>
      <c r="M478">
        <v>2023</v>
      </c>
      <c r="N478" t="s">
        <v>1074</v>
      </c>
      <c r="O478">
        <v>4</v>
      </c>
    </row>
    <row r="479" spans="1:15" x14ac:dyDescent="0.25">
      <c r="A479" t="s">
        <v>506</v>
      </c>
      <c r="B479" t="s">
        <v>12</v>
      </c>
      <c r="C479">
        <v>67</v>
      </c>
      <c r="D479" t="s">
        <v>11</v>
      </c>
      <c r="E479">
        <v>129</v>
      </c>
      <c r="F479">
        <v>4.7</v>
      </c>
      <c r="G479" s="8">
        <v>45067</v>
      </c>
      <c r="H479">
        <v>2023</v>
      </c>
      <c r="I479">
        <v>2</v>
      </c>
      <c r="J479">
        <v>5</v>
      </c>
      <c r="K479" t="s">
        <v>1050</v>
      </c>
      <c r="L479" t="s">
        <v>1040</v>
      </c>
      <c r="M479">
        <v>2023</v>
      </c>
      <c r="N479" t="s">
        <v>1074</v>
      </c>
      <c r="O479">
        <v>5</v>
      </c>
    </row>
    <row r="480" spans="1:15" x14ac:dyDescent="0.25">
      <c r="A480" t="s">
        <v>507</v>
      </c>
      <c r="B480" t="s">
        <v>16</v>
      </c>
      <c r="C480">
        <v>107</v>
      </c>
      <c r="D480" t="s">
        <v>6</v>
      </c>
      <c r="E480">
        <v>115</v>
      </c>
      <c r="F480">
        <v>4.9000000000000004</v>
      </c>
      <c r="G480" s="8">
        <v>45067</v>
      </c>
      <c r="H480">
        <v>2023</v>
      </c>
      <c r="I480">
        <v>2</v>
      </c>
      <c r="J480">
        <v>5</v>
      </c>
      <c r="K480" t="s">
        <v>1050</v>
      </c>
      <c r="L480" t="s">
        <v>1040</v>
      </c>
      <c r="M480">
        <v>2023</v>
      </c>
      <c r="N480" t="s">
        <v>1074</v>
      </c>
      <c r="O480">
        <v>5</v>
      </c>
    </row>
    <row r="481" spans="1:15" x14ac:dyDescent="0.25">
      <c r="A481" t="s">
        <v>508</v>
      </c>
      <c r="B481" t="s">
        <v>16</v>
      </c>
      <c r="C481">
        <v>93</v>
      </c>
      <c r="D481" t="s">
        <v>6</v>
      </c>
      <c r="E481">
        <v>128</v>
      </c>
      <c r="F481">
        <v>3.9</v>
      </c>
      <c r="G481" s="8">
        <v>45067</v>
      </c>
      <c r="H481">
        <v>2023</v>
      </c>
      <c r="I481">
        <v>2</v>
      </c>
      <c r="J481">
        <v>5</v>
      </c>
      <c r="K481" t="s">
        <v>1050</v>
      </c>
      <c r="L481" t="s">
        <v>1040</v>
      </c>
      <c r="M481">
        <v>2023</v>
      </c>
      <c r="N481" t="s">
        <v>1074</v>
      </c>
      <c r="O481">
        <v>4</v>
      </c>
    </row>
    <row r="482" spans="1:15" x14ac:dyDescent="0.25">
      <c r="A482" t="s">
        <v>509</v>
      </c>
      <c r="B482" t="s">
        <v>16</v>
      </c>
      <c r="C482">
        <v>117</v>
      </c>
      <c r="D482" t="s">
        <v>11</v>
      </c>
      <c r="E482">
        <v>90</v>
      </c>
      <c r="F482">
        <v>4.5</v>
      </c>
      <c r="G482" s="8">
        <v>45067</v>
      </c>
      <c r="H482">
        <v>2023</v>
      </c>
      <c r="I482">
        <v>2</v>
      </c>
      <c r="J482">
        <v>5</v>
      </c>
      <c r="K482" t="s">
        <v>1050</v>
      </c>
      <c r="L482" t="s">
        <v>1040</v>
      </c>
      <c r="M482">
        <v>2023</v>
      </c>
      <c r="N482" t="s">
        <v>1074</v>
      </c>
      <c r="O482">
        <v>4</v>
      </c>
    </row>
    <row r="483" spans="1:15" x14ac:dyDescent="0.25">
      <c r="A483" t="s">
        <v>510</v>
      </c>
      <c r="B483" t="s">
        <v>24</v>
      </c>
      <c r="C483">
        <v>76</v>
      </c>
      <c r="D483" t="s">
        <v>13</v>
      </c>
      <c r="E483">
        <v>39</v>
      </c>
      <c r="F483">
        <v>4.5999999999999996</v>
      </c>
      <c r="G483" s="8">
        <v>45068</v>
      </c>
      <c r="H483">
        <v>2023</v>
      </c>
      <c r="I483">
        <v>2</v>
      </c>
      <c r="J483">
        <v>5</v>
      </c>
      <c r="K483" t="s">
        <v>1050</v>
      </c>
      <c r="L483" t="s">
        <v>1041</v>
      </c>
      <c r="M483">
        <v>2023</v>
      </c>
      <c r="N483" t="s">
        <v>1074</v>
      </c>
      <c r="O483">
        <v>5</v>
      </c>
    </row>
    <row r="484" spans="1:15" x14ac:dyDescent="0.25">
      <c r="A484" t="s">
        <v>511</v>
      </c>
      <c r="B484" t="s">
        <v>18</v>
      </c>
      <c r="C484">
        <v>64</v>
      </c>
      <c r="D484" t="s">
        <v>6</v>
      </c>
      <c r="E484">
        <v>132</v>
      </c>
      <c r="F484">
        <v>3.3</v>
      </c>
      <c r="G484" s="8">
        <v>45068</v>
      </c>
      <c r="H484">
        <v>2023</v>
      </c>
      <c r="I484">
        <v>2</v>
      </c>
      <c r="J484">
        <v>5</v>
      </c>
      <c r="K484" t="s">
        <v>1050</v>
      </c>
      <c r="L484" t="s">
        <v>1041</v>
      </c>
      <c r="M484">
        <v>2023</v>
      </c>
      <c r="N484" t="s">
        <v>1074</v>
      </c>
      <c r="O484">
        <v>3</v>
      </c>
    </row>
    <row r="485" spans="1:15" x14ac:dyDescent="0.25">
      <c r="A485" t="s">
        <v>512</v>
      </c>
      <c r="B485" t="s">
        <v>8</v>
      </c>
      <c r="C485">
        <v>33</v>
      </c>
      <c r="D485" t="s">
        <v>6</v>
      </c>
      <c r="E485">
        <v>170</v>
      </c>
      <c r="F485">
        <v>3.8</v>
      </c>
      <c r="G485" s="8">
        <v>45068</v>
      </c>
      <c r="H485">
        <v>2023</v>
      </c>
      <c r="I485">
        <v>2</v>
      </c>
      <c r="J485">
        <v>5</v>
      </c>
      <c r="K485" t="s">
        <v>1050</v>
      </c>
      <c r="L485" t="s">
        <v>1041</v>
      </c>
      <c r="M485">
        <v>2023</v>
      </c>
      <c r="N485" t="s">
        <v>1076</v>
      </c>
      <c r="O485">
        <v>4</v>
      </c>
    </row>
    <row r="486" spans="1:15" x14ac:dyDescent="0.25">
      <c r="A486" t="s">
        <v>513</v>
      </c>
      <c r="B486" t="s">
        <v>16</v>
      </c>
      <c r="C486">
        <v>115</v>
      </c>
      <c r="D486" t="s">
        <v>11</v>
      </c>
      <c r="E486">
        <v>42</v>
      </c>
      <c r="F486">
        <v>4.7</v>
      </c>
      <c r="G486" s="8">
        <v>45068</v>
      </c>
      <c r="H486">
        <v>2023</v>
      </c>
      <c r="I486">
        <v>2</v>
      </c>
      <c r="J486">
        <v>5</v>
      </c>
      <c r="K486" t="s">
        <v>1050</v>
      </c>
      <c r="L486" t="s">
        <v>1041</v>
      </c>
      <c r="M486">
        <v>2023</v>
      </c>
      <c r="N486" t="s">
        <v>1074</v>
      </c>
      <c r="O486">
        <v>5</v>
      </c>
    </row>
    <row r="487" spans="1:15" x14ac:dyDescent="0.25">
      <c r="A487" t="s">
        <v>514</v>
      </c>
      <c r="B487" t="s">
        <v>21</v>
      </c>
      <c r="C487">
        <v>155</v>
      </c>
      <c r="D487" t="s">
        <v>13</v>
      </c>
      <c r="E487">
        <v>37</v>
      </c>
      <c r="F487">
        <v>4</v>
      </c>
      <c r="G487" s="8">
        <v>45069</v>
      </c>
      <c r="H487">
        <v>2023</v>
      </c>
      <c r="I487">
        <v>2</v>
      </c>
      <c r="J487">
        <v>5</v>
      </c>
      <c r="K487" t="s">
        <v>1050</v>
      </c>
      <c r="L487" t="s">
        <v>1042</v>
      </c>
      <c r="M487">
        <v>2023</v>
      </c>
      <c r="N487" t="s">
        <v>1075</v>
      </c>
      <c r="O487">
        <v>4</v>
      </c>
    </row>
    <row r="488" spans="1:15" x14ac:dyDescent="0.25">
      <c r="A488" t="s">
        <v>515</v>
      </c>
      <c r="B488" t="s">
        <v>12</v>
      </c>
      <c r="C488">
        <v>117</v>
      </c>
      <c r="D488" t="s">
        <v>13</v>
      </c>
      <c r="E488">
        <v>88</v>
      </c>
      <c r="F488">
        <v>4.7</v>
      </c>
      <c r="G488" s="8">
        <v>45069</v>
      </c>
      <c r="H488">
        <v>2023</v>
      </c>
      <c r="I488">
        <v>2</v>
      </c>
      <c r="J488">
        <v>5</v>
      </c>
      <c r="K488" t="s">
        <v>1050</v>
      </c>
      <c r="L488" t="s">
        <v>1042</v>
      </c>
      <c r="M488">
        <v>2023</v>
      </c>
      <c r="N488" t="s">
        <v>1074</v>
      </c>
      <c r="O488">
        <v>5</v>
      </c>
    </row>
    <row r="489" spans="1:15" x14ac:dyDescent="0.25">
      <c r="A489" t="s">
        <v>516</v>
      </c>
      <c r="B489" t="s">
        <v>5</v>
      </c>
      <c r="C489">
        <v>63</v>
      </c>
      <c r="D489" t="s">
        <v>13</v>
      </c>
      <c r="E489">
        <v>80</v>
      </c>
      <c r="F489">
        <v>2.5</v>
      </c>
      <c r="G489" s="8">
        <v>45069</v>
      </c>
      <c r="H489">
        <v>2023</v>
      </c>
      <c r="I489">
        <v>2</v>
      </c>
      <c r="J489">
        <v>5</v>
      </c>
      <c r="K489" t="s">
        <v>1050</v>
      </c>
      <c r="L489" t="s">
        <v>1042</v>
      </c>
      <c r="M489">
        <v>2023</v>
      </c>
      <c r="N489" t="s">
        <v>1074</v>
      </c>
      <c r="O489">
        <v>2</v>
      </c>
    </row>
    <row r="490" spans="1:15" x14ac:dyDescent="0.25">
      <c r="A490" t="s">
        <v>517</v>
      </c>
      <c r="B490" t="s">
        <v>18</v>
      </c>
      <c r="C490">
        <v>59</v>
      </c>
      <c r="D490" t="s">
        <v>10</v>
      </c>
      <c r="E490">
        <v>123</v>
      </c>
      <c r="F490">
        <v>3.6</v>
      </c>
      <c r="G490" s="8">
        <v>45070</v>
      </c>
      <c r="H490">
        <v>2023</v>
      </c>
      <c r="I490">
        <v>2</v>
      </c>
      <c r="J490">
        <v>5</v>
      </c>
      <c r="K490" t="s">
        <v>1050</v>
      </c>
      <c r="L490" t="s">
        <v>1043</v>
      </c>
      <c r="M490">
        <v>2023</v>
      </c>
      <c r="N490" t="s">
        <v>1076</v>
      </c>
      <c r="O490">
        <v>4</v>
      </c>
    </row>
    <row r="491" spans="1:15" x14ac:dyDescent="0.25">
      <c r="A491" t="s">
        <v>518</v>
      </c>
      <c r="B491" t="s">
        <v>7</v>
      </c>
      <c r="C491">
        <v>133</v>
      </c>
      <c r="D491" t="s">
        <v>6</v>
      </c>
      <c r="E491">
        <v>31</v>
      </c>
      <c r="F491">
        <v>3.7</v>
      </c>
      <c r="G491" s="8">
        <v>45070</v>
      </c>
      <c r="H491">
        <v>2023</v>
      </c>
      <c r="I491">
        <v>2</v>
      </c>
      <c r="J491">
        <v>5</v>
      </c>
      <c r="K491" t="s">
        <v>1050</v>
      </c>
      <c r="L491" t="s">
        <v>1043</v>
      </c>
      <c r="M491">
        <v>2023</v>
      </c>
      <c r="N491" t="s">
        <v>1075</v>
      </c>
      <c r="O491">
        <v>4</v>
      </c>
    </row>
    <row r="492" spans="1:15" x14ac:dyDescent="0.25">
      <c r="A492" t="s">
        <v>519</v>
      </c>
      <c r="B492" t="s">
        <v>17</v>
      </c>
      <c r="C492">
        <v>101</v>
      </c>
      <c r="D492" t="s">
        <v>9</v>
      </c>
      <c r="E492">
        <v>205</v>
      </c>
      <c r="F492">
        <v>3.9</v>
      </c>
      <c r="G492" s="8">
        <v>45070</v>
      </c>
      <c r="H492">
        <v>2023</v>
      </c>
      <c r="I492">
        <v>2</v>
      </c>
      <c r="J492">
        <v>5</v>
      </c>
      <c r="K492" t="s">
        <v>1050</v>
      </c>
      <c r="L492" t="s">
        <v>1043</v>
      </c>
      <c r="M492">
        <v>2023</v>
      </c>
      <c r="N492" t="s">
        <v>1074</v>
      </c>
      <c r="O492">
        <v>4</v>
      </c>
    </row>
    <row r="493" spans="1:15" x14ac:dyDescent="0.25">
      <c r="A493" t="s">
        <v>520</v>
      </c>
      <c r="B493" t="s">
        <v>14</v>
      </c>
      <c r="C493">
        <v>151</v>
      </c>
      <c r="D493" t="s">
        <v>13</v>
      </c>
      <c r="E493">
        <v>123</v>
      </c>
      <c r="F493">
        <v>3.7</v>
      </c>
      <c r="G493" s="8">
        <v>45071</v>
      </c>
      <c r="H493">
        <v>2023</v>
      </c>
      <c r="I493">
        <v>2</v>
      </c>
      <c r="J493">
        <v>5</v>
      </c>
      <c r="K493" t="s">
        <v>1050</v>
      </c>
      <c r="L493" t="s">
        <v>1044</v>
      </c>
      <c r="M493">
        <v>2023</v>
      </c>
      <c r="N493" t="s">
        <v>1075</v>
      </c>
      <c r="O493">
        <v>4</v>
      </c>
    </row>
    <row r="494" spans="1:15" x14ac:dyDescent="0.25">
      <c r="A494" t="s">
        <v>521</v>
      </c>
      <c r="B494" t="s">
        <v>8</v>
      </c>
      <c r="C494">
        <v>146</v>
      </c>
      <c r="D494" t="s">
        <v>6</v>
      </c>
      <c r="E494">
        <v>123</v>
      </c>
      <c r="F494">
        <v>4.3</v>
      </c>
      <c r="G494" s="8">
        <v>45071</v>
      </c>
      <c r="H494">
        <v>2023</v>
      </c>
      <c r="I494">
        <v>2</v>
      </c>
      <c r="J494">
        <v>5</v>
      </c>
      <c r="K494" t="s">
        <v>1050</v>
      </c>
      <c r="L494" t="s">
        <v>1044</v>
      </c>
      <c r="M494">
        <v>2023</v>
      </c>
      <c r="N494" t="s">
        <v>1075</v>
      </c>
      <c r="O494">
        <v>4</v>
      </c>
    </row>
    <row r="495" spans="1:15" x14ac:dyDescent="0.25">
      <c r="A495" t="s">
        <v>522</v>
      </c>
      <c r="B495" t="s">
        <v>5</v>
      </c>
      <c r="C495">
        <v>148</v>
      </c>
      <c r="D495" t="s">
        <v>6</v>
      </c>
      <c r="E495">
        <v>36</v>
      </c>
      <c r="F495">
        <v>2.9</v>
      </c>
      <c r="G495" s="8">
        <v>45071</v>
      </c>
      <c r="H495">
        <v>2023</v>
      </c>
      <c r="I495">
        <v>2</v>
      </c>
      <c r="J495">
        <v>5</v>
      </c>
      <c r="K495" t="s">
        <v>1050</v>
      </c>
      <c r="L495" t="s">
        <v>1044</v>
      </c>
      <c r="M495">
        <v>2023</v>
      </c>
      <c r="N495" t="s">
        <v>1075</v>
      </c>
      <c r="O495">
        <v>3</v>
      </c>
    </row>
    <row r="496" spans="1:15" x14ac:dyDescent="0.25">
      <c r="A496" t="s">
        <v>523</v>
      </c>
      <c r="B496" t="s">
        <v>14</v>
      </c>
      <c r="C496">
        <v>81</v>
      </c>
      <c r="D496" t="s">
        <v>6</v>
      </c>
      <c r="E496">
        <v>116</v>
      </c>
      <c r="F496">
        <v>4.3</v>
      </c>
      <c r="G496" s="8">
        <v>45071</v>
      </c>
      <c r="H496">
        <v>2023</v>
      </c>
      <c r="I496">
        <v>2</v>
      </c>
      <c r="J496">
        <v>5</v>
      </c>
      <c r="K496" t="s">
        <v>1050</v>
      </c>
      <c r="L496" t="s">
        <v>1044</v>
      </c>
      <c r="M496">
        <v>2023</v>
      </c>
      <c r="N496" t="s">
        <v>1074</v>
      </c>
      <c r="O496">
        <v>4</v>
      </c>
    </row>
    <row r="497" spans="1:15" x14ac:dyDescent="0.25">
      <c r="A497" t="s">
        <v>524</v>
      </c>
      <c r="B497" t="s">
        <v>22</v>
      </c>
      <c r="C497">
        <v>115</v>
      </c>
      <c r="D497" t="s">
        <v>6</v>
      </c>
      <c r="E497">
        <v>40</v>
      </c>
      <c r="F497">
        <v>4.9000000000000004</v>
      </c>
      <c r="G497" s="8">
        <v>45071</v>
      </c>
      <c r="H497">
        <v>2023</v>
      </c>
      <c r="I497">
        <v>2</v>
      </c>
      <c r="J497">
        <v>5</v>
      </c>
      <c r="K497" t="s">
        <v>1050</v>
      </c>
      <c r="L497" t="s">
        <v>1044</v>
      </c>
      <c r="M497">
        <v>2023</v>
      </c>
      <c r="N497" t="s">
        <v>1074</v>
      </c>
      <c r="O497">
        <v>5</v>
      </c>
    </row>
    <row r="498" spans="1:15" x14ac:dyDescent="0.25">
      <c r="A498" t="s">
        <v>525</v>
      </c>
      <c r="B498" t="s">
        <v>22</v>
      </c>
      <c r="C498">
        <v>117</v>
      </c>
      <c r="D498" t="s">
        <v>13</v>
      </c>
      <c r="E498">
        <v>40</v>
      </c>
      <c r="F498">
        <v>4</v>
      </c>
      <c r="G498" s="8">
        <v>45071</v>
      </c>
      <c r="H498">
        <v>2023</v>
      </c>
      <c r="I498">
        <v>2</v>
      </c>
      <c r="J498">
        <v>5</v>
      </c>
      <c r="K498" t="s">
        <v>1050</v>
      </c>
      <c r="L498" t="s">
        <v>1044</v>
      </c>
      <c r="M498">
        <v>2023</v>
      </c>
      <c r="N498" t="s">
        <v>1074</v>
      </c>
      <c r="O498">
        <v>4</v>
      </c>
    </row>
    <row r="499" spans="1:15" x14ac:dyDescent="0.25">
      <c r="A499" t="s">
        <v>526</v>
      </c>
      <c r="B499" t="s">
        <v>17</v>
      </c>
      <c r="C499">
        <v>110</v>
      </c>
      <c r="D499" t="s">
        <v>11</v>
      </c>
      <c r="E499">
        <v>82</v>
      </c>
      <c r="F499">
        <v>4</v>
      </c>
      <c r="G499" s="8">
        <v>45072</v>
      </c>
      <c r="H499">
        <v>2023</v>
      </c>
      <c r="I499">
        <v>2</v>
      </c>
      <c r="J499">
        <v>5</v>
      </c>
      <c r="K499" t="s">
        <v>1050</v>
      </c>
      <c r="L499" t="s">
        <v>1045</v>
      </c>
      <c r="M499">
        <v>2023</v>
      </c>
      <c r="N499" t="s">
        <v>1074</v>
      </c>
      <c r="O499">
        <v>4</v>
      </c>
    </row>
    <row r="500" spans="1:15" x14ac:dyDescent="0.25">
      <c r="A500" t="s">
        <v>527</v>
      </c>
      <c r="B500" t="s">
        <v>24</v>
      </c>
      <c r="C500">
        <v>103</v>
      </c>
      <c r="D500" t="s">
        <v>10</v>
      </c>
      <c r="E500">
        <v>62</v>
      </c>
      <c r="F500">
        <v>3.4</v>
      </c>
      <c r="G500" s="8">
        <v>45072</v>
      </c>
      <c r="H500">
        <v>2023</v>
      </c>
      <c r="I500">
        <v>2</v>
      </c>
      <c r="J500">
        <v>5</v>
      </c>
      <c r="K500" t="s">
        <v>1050</v>
      </c>
      <c r="L500" t="s">
        <v>1045</v>
      </c>
      <c r="M500">
        <v>2023</v>
      </c>
      <c r="N500" t="s">
        <v>1074</v>
      </c>
      <c r="O500">
        <v>3</v>
      </c>
    </row>
    <row r="501" spans="1:15" x14ac:dyDescent="0.25">
      <c r="A501" t="s">
        <v>528</v>
      </c>
      <c r="B501" t="s">
        <v>21</v>
      </c>
      <c r="C501">
        <v>45</v>
      </c>
      <c r="D501" t="s">
        <v>10</v>
      </c>
      <c r="E501">
        <v>135</v>
      </c>
      <c r="F501">
        <v>3.9</v>
      </c>
      <c r="G501" s="8">
        <v>45072</v>
      </c>
      <c r="H501">
        <v>2023</v>
      </c>
      <c r="I501">
        <v>2</v>
      </c>
      <c r="J501">
        <v>5</v>
      </c>
      <c r="K501" t="s">
        <v>1050</v>
      </c>
      <c r="L501" t="s">
        <v>1045</v>
      </c>
      <c r="M501">
        <v>2023</v>
      </c>
      <c r="N501" t="s">
        <v>1076</v>
      </c>
      <c r="O501">
        <v>4</v>
      </c>
    </row>
    <row r="502" spans="1:15" x14ac:dyDescent="0.25">
      <c r="A502" t="s">
        <v>529</v>
      </c>
      <c r="B502" t="s">
        <v>17</v>
      </c>
      <c r="C502">
        <v>110</v>
      </c>
      <c r="D502" t="s">
        <v>9</v>
      </c>
      <c r="E502">
        <v>155</v>
      </c>
      <c r="F502">
        <v>2.1</v>
      </c>
      <c r="G502" s="8">
        <v>45072</v>
      </c>
      <c r="H502">
        <v>2023</v>
      </c>
      <c r="I502">
        <v>2</v>
      </c>
      <c r="J502">
        <v>5</v>
      </c>
      <c r="K502" t="s">
        <v>1050</v>
      </c>
      <c r="L502" t="s">
        <v>1045</v>
      </c>
      <c r="M502">
        <v>2023</v>
      </c>
      <c r="N502" t="s">
        <v>1074</v>
      </c>
      <c r="O502">
        <v>2</v>
      </c>
    </row>
    <row r="503" spans="1:15" x14ac:dyDescent="0.25">
      <c r="A503" t="s">
        <v>530</v>
      </c>
      <c r="B503" t="s">
        <v>18</v>
      </c>
      <c r="C503">
        <v>43</v>
      </c>
      <c r="D503" t="s">
        <v>11</v>
      </c>
      <c r="E503">
        <v>37</v>
      </c>
      <c r="F503">
        <v>4.9000000000000004</v>
      </c>
      <c r="G503" s="8">
        <v>45072</v>
      </c>
      <c r="H503">
        <v>2023</v>
      </c>
      <c r="I503">
        <v>2</v>
      </c>
      <c r="J503">
        <v>5</v>
      </c>
      <c r="K503" t="s">
        <v>1050</v>
      </c>
      <c r="L503" t="s">
        <v>1045</v>
      </c>
      <c r="M503">
        <v>2023</v>
      </c>
      <c r="N503" t="s">
        <v>1076</v>
      </c>
      <c r="O503">
        <v>5</v>
      </c>
    </row>
    <row r="504" spans="1:15" x14ac:dyDescent="0.25">
      <c r="A504" t="s">
        <v>531</v>
      </c>
      <c r="B504" t="s">
        <v>17</v>
      </c>
      <c r="C504">
        <v>104</v>
      </c>
      <c r="D504" t="s">
        <v>13</v>
      </c>
      <c r="E504">
        <v>56</v>
      </c>
      <c r="F504">
        <v>3.4</v>
      </c>
      <c r="G504" s="8">
        <v>45073</v>
      </c>
      <c r="H504">
        <v>2023</v>
      </c>
      <c r="I504">
        <v>2</v>
      </c>
      <c r="J504">
        <v>5</v>
      </c>
      <c r="K504" t="s">
        <v>1050</v>
      </c>
      <c r="L504" t="s">
        <v>1046</v>
      </c>
      <c r="M504">
        <v>2023</v>
      </c>
      <c r="N504" t="s">
        <v>1074</v>
      </c>
      <c r="O504">
        <v>3</v>
      </c>
    </row>
    <row r="505" spans="1:15" x14ac:dyDescent="0.25">
      <c r="A505" t="s">
        <v>532</v>
      </c>
      <c r="B505" t="s">
        <v>17</v>
      </c>
      <c r="C505">
        <v>101</v>
      </c>
      <c r="D505" t="s">
        <v>13</v>
      </c>
      <c r="E505">
        <v>185</v>
      </c>
      <c r="F505">
        <v>5</v>
      </c>
      <c r="G505" s="8">
        <v>45073</v>
      </c>
      <c r="H505">
        <v>2023</v>
      </c>
      <c r="I505">
        <v>2</v>
      </c>
      <c r="J505">
        <v>5</v>
      </c>
      <c r="K505" t="s">
        <v>1050</v>
      </c>
      <c r="L505" t="s">
        <v>1046</v>
      </c>
      <c r="M505">
        <v>2023</v>
      </c>
      <c r="N505" t="s">
        <v>1074</v>
      </c>
      <c r="O505">
        <v>5</v>
      </c>
    </row>
    <row r="506" spans="1:15" x14ac:dyDescent="0.25">
      <c r="A506" t="s">
        <v>533</v>
      </c>
      <c r="B506" t="s">
        <v>20</v>
      </c>
      <c r="C506">
        <v>55</v>
      </c>
      <c r="D506" t="s">
        <v>11</v>
      </c>
      <c r="E506">
        <v>145</v>
      </c>
      <c r="F506">
        <v>4.5</v>
      </c>
      <c r="G506" s="8">
        <v>45074</v>
      </c>
      <c r="H506">
        <v>2023</v>
      </c>
      <c r="I506">
        <v>2</v>
      </c>
      <c r="J506">
        <v>5</v>
      </c>
      <c r="K506" t="s">
        <v>1050</v>
      </c>
      <c r="L506" t="s">
        <v>1040</v>
      </c>
      <c r="M506">
        <v>2023</v>
      </c>
      <c r="N506" t="s">
        <v>1076</v>
      </c>
      <c r="O506">
        <v>4</v>
      </c>
    </row>
    <row r="507" spans="1:15" x14ac:dyDescent="0.25">
      <c r="A507" t="s">
        <v>534</v>
      </c>
      <c r="B507" t="s">
        <v>14</v>
      </c>
      <c r="C507">
        <v>40</v>
      </c>
      <c r="D507" t="s">
        <v>10</v>
      </c>
      <c r="E507">
        <v>116</v>
      </c>
      <c r="F507">
        <v>2.6</v>
      </c>
      <c r="G507" s="8">
        <v>45074</v>
      </c>
      <c r="H507">
        <v>2023</v>
      </c>
      <c r="I507">
        <v>2</v>
      </c>
      <c r="J507">
        <v>5</v>
      </c>
      <c r="K507" t="s">
        <v>1050</v>
      </c>
      <c r="L507" t="s">
        <v>1040</v>
      </c>
      <c r="M507">
        <v>2023</v>
      </c>
      <c r="N507" t="s">
        <v>1076</v>
      </c>
      <c r="O507">
        <v>3</v>
      </c>
    </row>
    <row r="508" spans="1:15" x14ac:dyDescent="0.25">
      <c r="A508" t="s">
        <v>535</v>
      </c>
      <c r="B508" t="s">
        <v>18</v>
      </c>
      <c r="C508">
        <v>122</v>
      </c>
      <c r="D508" t="s">
        <v>6</v>
      </c>
      <c r="E508">
        <v>45</v>
      </c>
      <c r="F508">
        <v>4.2</v>
      </c>
      <c r="G508" s="8">
        <v>45074</v>
      </c>
      <c r="H508">
        <v>2023</v>
      </c>
      <c r="I508">
        <v>2</v>
      </c>
      <c r="J508">
        <v>5</v>
      </c>
      <c r="K508" t="s">
        <v>1050</v>
      </c>
      <c r="L508" t="s">
        <v>1040</v>
      </c>
      <c r="M508">
        <v>2023</v>
      </c>
      <c r="N508" t="s">
        <v>1075</v>
      </c>
      <c r="O508">
        <v>4</v>
      </c>
    </row>
    <row r="509" spans="1:15" x14ac:dyDescent="0.25">
      <c r="A509" t="s">
        <v>536</v>
      </c>
      <c r="B509" t="s">
        <v>8</v>
      </c>
      <c r="C509">
        <v>98</v>
      </c>
      <c r="D509" t="s">
        <v>13</v>
      </c>
      <c r="E509">
        <v>35</v>
      </c>
      <c r="F509">
        <v>4.5</v>
      </c>
      <c r="G509" s="8">
        <v>45075</v>
      </c>
      <c r="H509">
        <v>2023</v>
      </c>
      <c r="I509">
        <v>2</v>
      </c>
      <c r="J509">
        <v>5</v>
      </c>
      <c r="K509" t="s">
        <v>1050</v>
      </c>
      <c r="L509" t="s">
        <v>1041</v>
      </c>
      <c r="M509">
        <v>2023</v>
      </c>
      <c r="N509" t="s">
        <v>1074</v>
      </c>
      <c r="O509">
        <v>4</v>
      </c>
    </row>
    <row r="510" spans="1:15" x14ac:dyDescent="0.25">
      <c r="A510" t="s">
        <v>537</v>
      </c>
      <c r="B510" t="s">
        <v>22</v>
      </c>
      <c r="C510">
        <v>110</v>
      </c>
      <c r="D510" t="s">
        <v>10</v>
      </c>
      <c r="E510">
        <v>100</v>
      </c>
      <c r="F510">
        <v>4.4000000000000004</v>
      </c>
      <c r="G510" s="8">
        <v>45075</v>
      </c>
      <c r="H510">
        <v>2023</v>
      </c>
      <c r="I510">
        <v>2</v>
      </c>
      <c r="J510">
        <v>5</v>
      </c>
      <c r="K510" t="s">
        <v>1050</v>
      </c>
      <c r="L510" t="s">
        <v>1041</v>
      </c>
      <c r="M510">
        <v>2023</v>
      </c>
      <c r="N510" t="s">
        <v>1074</v>
      </c>
      <c r="O510">
        <v>4</v>
      </c>
    </row>
    <row r="511" spans="1:15" x14ac:dyDescent="0.25">
      <c r="A511" t="s">
        <v>538</v>
      </c>
      <c r="B511" t="s">
        <v>22</v>
      </c>
      <c r="C511">
        <v>62</v>
      </c>
      <c r="D511" t="s">
        <v>11</v>
      </c>
      <c r="E511">
        <v>125</v>
      </c>
      <c r="F511">
        <v>3.5</v>
      </c>
      <c r="G511" s="8">
        <v>45076</v>
      </c>
      <c r="H511">
        <v>2023</v>
      </c>
      <c r="I511">
        <v>2</v>
      </c>
      <c r="J511">
        <v>5</v>
      </c>
      <c r="K511" t="s">
        <v>1050</v>
      </c>
      <c r="L511" t="s">
        <v>1042</v>
      </c>
      <c r="M511">
        <v>2023</v>
      </c>
      <c r="N511" t="s">
        <v>1074</v>
      </c>
      <c r="O511">
        <v>4</v>
      </c>
    </row>
    <row r="512" spans="1:15" x14ac:dyDescent="0.25">
      <c r="A512" t="s">
        <v>539</v>
      </c>
      <c r="B512" t="s">
        <v>18</v>
      </c>
      <c r="C512">
        <v>134</v>
      </c>
      <c r="D512" t="s">
        <v>6</v>
      </c>
      <c r="E512">
        <v>120</v>
      </c>
      <c r="F512">
        <v>3</v>
      </c>
      <c r="G512" s="8">
        <v>45076</v>
      </c>
      <c r="H512">
        <v>2023</v>
      </c>
      <c r="I512">
        <v>2</v>
      </c>
      <c r="J512">
        <v>5</v>
      </c>
      <c r="K512" t="s">
        <v>1050</v>
      </c>
      <c r="L512" t="s">
        <v>1042</v>
      </c>
      <c r="M512">
        <v>2023</v>
      </c>
      <c r="N512" t="s">
        <v>1075</v>
      </c>
      <c r="O512">
        <v>3</v>
      </c>
    </row>
    <row r="513" spans="1:15" x14ac:dyDescent="0.25">
      <c r="A513" t="s">
        <v>540</v>
      </c>
      <c r="B513" t="s">
        <v>19</v>
      </c>
      <c r="C513">
        <v>94</v>
      </c>
      <c r="D513" t="s">
        <v>9</v>
      </c>
      <c r="E513">
        <v>180</v>
      </c>
      <c r="F513">
        <v>4.7</v>
      </c>
      <c r="G513" s="8">
        <v>45076</v>
      </c>
      <c r="H513">
        <v>2023</v>
      </c>
      <c r="I513">
        <v>2</v>
      </c>
      <c r="J513">
        <v>5</v>
      </c>
      <c r="K513" t="s">
        <v>1050</v>
      </c>
      <c r="L513" t="s">
        <v>1042</v>
      </c>
      <c r="M513">
        <v>2023</v>
      </c>
      <c r="N513" t="s">
        <v>1074</v>
      </c>
      <c r="O513">
        <v>5</v>
      </c>
    </row>
    <row r="514" spans="1:15" x14ac:dyDescent="0.25">
      <c r="A514" t="s">
        <v>541</v>
      </c>
      <c r="B514" t="s">
        <v>15</v>
      </c>
      <c r="C514">
        <v>63</v>
      </c>
      <c r="D514" t="s">
        <v>10</v>
      </c>
      <c r="E514">
        <v>44</v>
      </c>
      <c r="F514">
        <v>3</v>
      </c>
      <c r="G514" s="8">
        <v>45076</v>
      </c>
      <c r="H514">
        <v>2023</v>
      </c>
      <c r="I514">
        <v>2</v>
      </c>
      <c r="J514">
        <v>5</v>
      </c>
      <c r="K514" t="s">
        <v>1050</v>
      </c>
      <c r="L514" t="s">
        <v>1042</v>
      </c>
      <c r="M514">
        <v>2023</v>
      </c>
      <c r="N514" t="s">
        <v>1074</v>
      </c>
      <c r="O514">
        <v>3</v>
      </c>
    </row>
    <row r="515" spans="1:15" x14ac:dyDescent="0.25">
      <c r="A515" t="s">
        <v>542</v>
      </c>
      <c r="B515" t="s">
        <v>7</v>
      </c>
      <c r="C515">
        <v>95</v>
      </c>
      <c r="D515" t="s">
        <v>6</v>
      </c>
      <c r="E515">
        <v>86</v>
      </c>
      <c r="F515">
        <v>3.6</v>
      </c>
      <c r="G515" s="8">
        <v>45076</v>
      </c>
      <c r="H515">
        <v>2023</v>
      </c>
      <c r="I515">
        <v>2</v>
      </c>
      <c r="J515">
        <v>5</v>
      </c>
      <c r="K515" t="s">
        <v>1050</v>
      </c>
      <c r="L515" t="s">
        <v>1042</v>
      </c>
      <c r="M515">
        <v>2023</v>
      </c>
      <c r="N515" t="s">
        <v>1074</v>
      </c>
      <c r="O515">
        <v>4</v>
      </c>
    </row>
    <row r="516" spans="1:15" x14ac:dyDescent="0.25">
      <c r="A516" t="s">
        <v>543</v>
      </c>
      <c r="B516" t="s">
        <v>18</v>
      </c>
      <c r="C516">
        <v>106</v>
      </c>
      <c r="D516" t="s">
        <v>6</v>
      </c>
      <c r="E516">
        <v>120</v>
      </c>
      <c r="F516">
        <v>4.0999999999999996</v>
      </c>
      <c r="G516" s="8">
        <v>45077</v>
      </c>
      <c r="H516">
        <v>2023</v>
      </c>
      <c r="I516">
        <v>2</v>
      </c>
      <c r="J516">
        <v>5</v>
      </c>
      <c r="K516" t="s">
        <v>1050</v>
      </c>
      <c r="L516" t="s">
        <v>1043</v>
      </c>
      <c r="M516">
        <v>2023</v>
      </c>
      <c r="N516" t="s">
        <v>1074</v>
      </c>
      <c r="O516">
        <v>4</v>
      </c>
    </row>
    <row r="517" spans="1:15" x14ac:dyDescent="0.25">
      <c r="A517" t="s">
        <v>544</v>
      </c>
      <c r="B517" t="s">
        <v>21</v>
      </c>
      <c r="C517">
        <v>94</v>
      </c>
      <c r="D517" t="s">
        <v>9</v>
      </c>
      <c r="E517">
        <v>100</v>
      </c>
      <c r="F517">
        <v>3.7</v>
      </c>
      <c r="G517" s="8">
        <v>45077</v>
      </c>
      <c r="H517">
        <v>2023</v>
      </c>
      <c r="I517">
        <v>2</v>
      </c>
      <c r="J517">
        <v>5</v>
      </c>
      <c r="K517" t="s">
        <v>1050</v>
      </c>
      <c r="L517" t="s">
        <v>1043</v>
      </c>
      <c r="M517">
        <v>2023</v>
      </c>
      <c r="N517" t="s">
        <v>1074</v>
      </c>
      <c r="O517">
        <v>4</v>
      </c>
    </row>
    <row r="518" spans="1:15" x14ac:dyDescent="0.25">
      <c r="A518" t="s">
        <v>545</v>
      </c>
      <c r="B518" t="s">
        <v>21</v>
      </c>
      <c r="C518">
        <v>51</v>
      </c>
      <c r="D518" t="s">
        <v>9</v>
      </c>
      <c r="E518">
        <v>108</v>
      </c>
      <c r="F518">
        <v>4.5</v>
      </c>
      <c r="G518" s="8">
        <v>45078</v>
      </c>
      <c r="H518">
        <v>2023</v>
      </c>
      <c r="I518">
        <v>2</v>
      </c>
      <c r="J518">
        <v>6</v>
      </c>
      <c r="K518" t="s">
        <v>1051</v>
      </c>
      <c r="L518" t="s">
        <v>1044</v>
      </c>
      <c r="M518">
        <v>2023</v>
      </c>
      <c r="N518" t="s">
        <v>1076</v>
      </c>
      <c r="O518">
        <v>4</v>
      </c>
    </row>
    <row r="519" spans="1:15" x14ac:dyDescent="0.25">
      <c r="A519" t="s">
        <v>546</v>
      </c>
      <c r="B519" t="s">
        <v>5</v>
      </c>
      <c r="C519">
        <v>39</v>
      </c>
      <c r="D519" t="s">
        <v>9</v>
      </c>
      <c r="E519">
        <v>46</v>
      </c>
      <c r="F519">
        <v>4.5999999999999996</v>
      </c>
      <c r="G519" s="8">
        <v>45078</v>
      </c>
      <c r="H519">
        <v>2023</v>
      </c>
      <c r="I519">
        <v>2</v>
      </c>
      <c r="J519">
        <v>6</v>
      </c>
      <c r="K519" t="s">
        <v>1051</v>
      </c>
      <c r="L519" t="s">
        <v>1044</v>
      </c>
      <c r="M519">
        <v>2023</v>
      </c>
      <c r="N519" t="s">
        <v>1076</v>
      </c>
      <c r="O519">
        <v>5</v>
      </c>
    </row>
    <row r="520" spans="1:15" x14ac:dyDescent="0.25">
      <c r="A520" t="s">
        <v>547</v>
      </c>
      <c r="B520" t="s">
        <v>14</v>
      </c>
      <c r="C520">
        <v>111</v>
      </c>
      <c r="D520" t="s">
        <v>6</v>
      </c>
      <c r="E520">
        <v>210</v>
      </c>
      <c r="F520">
        <v>4.3</v>
      </c>
      <c r="G520" s="8">
        <v>45078</v>
      </c>
      <c r="H520">
        <v>2023</v>
      </c>
      <c r="I520">
        <v>2</v>
      </c>
      <c r="J520">
        <v>6</v>
      </c>
      <c r="K520" t="s">
        <v>1051</v>
      </c>
      <c r="L520" t="s">
        <v>1044</v>
      </c>
      <c r="M520">
        <v>2023</v>
      </c>
      <c r="N520" t="s">
        <v>1074</v>
      </c>
      <c r="O520">
        <v>4</v>
      </c>
    </row>
    <row r="521" spans="1:15" x14ac:dyDescent="0.25">
      <c r="A521" t="s">
        <v>548</v>
      </c>
      <c r="B521" t="s">
        <v>16</v>
      </c>
      <c r="C521">
        <v>141</v>
      </c>
      <c r="D521" t="s">
        <v>11</v>
      </c>
      <c r="E521">
        <v>54</v>
      </c>
      <c r="F521">
        <v>4.8</v>
      </c>
      <c r="G521" s="8">
        <v>45080</v>
      </c>
      <c r="H521">
        <v>2023</v>
      </c>
      <c r="I521">
        <v>2</v>
      </c>
      <c r="J521">
        <v>6</v>
      </c>
      <c r="K521" t="s">
        <v>1051</v>
      </c>
      <c r="L521" t="s">
        <v>1046</v>
      </c>
      <c r="M521">
        <v>2023</v>
      </c>
      <c r="N521" t="s">
        <v>1075</v>
      </c>
      <c r="O521">
        <v>5</v>
      </c>
    </row>
    <row r="522" spans="1:15" x14ac:dyDescent="0.25">
      <c r="A522" t="s">
        <v>549</v>
      </c>
      <c r="B522" t="s">
        <v>15</v>
      </c>
      <c r="C522">
        <v>147</v>
      </c>
      <c r="D522" t="s">
        <v>6</v>
      </c>
      <c r="E522">
        <v>115</v>
      </c>
      <c r="F522">
        <v>4.7</v>
      </c>
      <c r="G522" s="8">
        <v>45080</v>
      </c>
      <c r="H522">
        <v>2023</v>
      </c>
      <c r="I522">
        <v>2</v>
      </c>
      <c r="J522">
        <v>6</v>
      </c>
      <c r="K522" t="s">
        <v>1051</v>
      </c>
      <c r="L522" t="s">
        <v>1046</v>
      </c>
      <c r="M522">
        <v>2023</v>
      </c>
      <c r="N522" t="s">
        <v>1075</v>
      </c>
      <c r="O522">
        <v>5</v>
      </c>
    </row>
    <row r="523" spans="1:15" x14ac:dyDescent="0.25">
      <c r="A523" t="s">
        <v>550</v>
      </c>
      <c r="B523" t="s">
        <v>19</v>
      </c>
      <c r="C523">
        <v>49</v>
      </c>
      <c r="D523" t="s">
        <v>9</v>
      </c>
      <c r="E523">
        <v>100</v>
      </c>
      <c r="F523">
        <v>2.2000000000000002</v>
      </c>
      <c r="G523" s="8">
        <v>45081</v>
      </c>
      <c r="H523">
        <v>2023</v>
      </c>
      <c r="I523">
        <v>2</v>
      </c>
      <c r="J523">
        <v>6</v>
      </c>
      <c r="K523" t="s">
        <v>1051</v>
      </c>
      <c r="L523" t="s">
        <v>1040</v>
      </c>
      <c r="M523">
        <v>2023</v>
      </c>
      <c r="N523" t="s">
        <v>1076</v>
      </c>
      <c r="O523">
        <v>2</v>
      </c>
    </row>
    <row r="524" spans="1:15" x14ac:dyDescent="0.25">
      <c r="A524" t="s">
        <v>551</v>
      </c>
      <c r="B524" t="s">
        <v>23</v>
      </c>
      <c r="C524">
        <v>75</v>
      </c>
      <c r="D524" t="s">
        <v>6</v>
      </c>
      <c r="E524">
        <v>38</v>
      </c>
      <c r="F524">
        <v>4.4000000000000004</v>
      </c>
      <c r="G524" s="8">
        <v>45081</v>
      </c>
      <c r="H524">
        <v>2023</v>
      </c>
      <c r="I524">
        <v>2</v>
      </c>
      <c r="J524">
        <v>6</v>
      </c>
      <c r="K524" t="s">
        <v>1051</v>
      </c>
      <c r="L524" t="s">
        <v>1040</v>
      </c>
      <c r="M524">
        <v>2023</v>
      </c>
      <c r="N524" t="s">
        <v>1074</v>
      </c>
      <c r="O524">
        <v>4</v>
      </c>
    </row>
    <row r="525" spans="1:15" x14ac:dyDescent="0.25">
      <c r="A525" t="s">
        <v>552</v>
      </c>
      <c r="B525" t="s">
        <v>16</v>
      </c>
      <c r="C525">
        <v>48</v>
      </c>
      <c r="D525" t="s">
        <v>11</v>
      </c>
      <c r="E525">
        <v>120</v>
      </c>
      <c r="F525">
        <v>4.0999999999999996</v>
      </c>
      <c r="G525" s="8">
        <v>45082</v>
      </c>
      <c r="H525">
        <v>2023</v>
      </c>
      <c r="I525">
        <v>2</v>
      </c>
      <c r="J525">
        <v>6</v>
      </c>
      <c r="K525" t="s">
        <v>1051</v>
      </c>
      <c r="L525" t="s">
        <v>1041</v>
      </c>
      <c r="M525">
        <v>2023</v>
      </c>
      <c r="N525" t="s">
        <v>1076</v>
      </c>
      <c r="O525">
        <v>4</v>
      </c>
    </row>
    <row r="526" spans="1:15" x14ac:dyDescent="0.25">
      <c r="A526" t="s">
        <v>553</v>
      </c>
      <c r="B526" t="s">
        <v>22</v>
      </c>
      <c r="C526">
        <v>48</v>
      </c>
      <c r="D526" t="s">
        <v>11</v>
      </c>
      <c r="E526">
        <v>120</v>
      </c>
      <c r="F526">
        <v>4.0999999999999996</v>
      </c>
      <c r="G526" s="8">
        <v>45082</v>
      </c>
      <c r="H526">
        <v>2023</v>
      </c>
      <c r="I526">
        <v>2</v>
      </c>
      <c r="J526">
        <v>6</v>
      </c>
      <c r="K526" t="s">
        <v>1051</v>
      </c>
      <c r="L526" t="s">
        <v>1041</v>
      </c>
      <c r="M526">
        <v>2023</v>
      </c>
      <c r="N526" t="s">
        <v>1076</v>
      </c>
      <c r="O526">
        <v>4</v>
      </c>
    </row>
    <row r="527" spans="1:15" x14ac:dyDescent="0.25">
      <c r="A527" t="s">
        <v>554</v>
      </c>
      <c r="B527" t="s">
        <v>12</v>
      </c>
      <c r="C527">
        <v>138</v>
      </c>
      <c r="D527" t="s">
        <v>9</v>
      </c>
      <c r="E527">
        <v>29</v>
      </c>
      <c r="F527">
        <v>4.4000000000000004</v>
      </c>
      <c r="G527" s="8">
        <v>45082</v>
      </c>
      <c r="H527">
        <v>2023</v>
      </c>
      <c r="I527">
        <v>2</v>
      </c>
      <c r="J527">
        <v>6</v>
      </c>
      <c r="K527" t="s">
        <v>1051</v>
      </c>
      <c r="L527" t="s">
        <v>1041</v>
      </c>
      <c r="M527">
        <v>2023</v>
      </c>
      <c r="N527" t="s">
        <v>1075</v>
      </c>
      <c r="O527">
        <v>4</v>
      </c>
    </row>
    <row r="528" spans="1:15" x14ac:dyDescent="0.25">
      <c r="A528" t="s">
        <v>555</v>
      </c>
      <c r="B528" t="s">
        <v>7</v>
      </c>
      <c r="C528">
        <v>144</v>
      </c>
      <c r="D528" t="s">
        <v>9</v>
      </c>
      <c r="E528">
        <v>25</v>
      </c>
      <c r="F528">
        <v>3.7</v>
      </c>
      <c r="G528" s="8">
        <v>45083</v>
      </c>
      <c r="H528">
        <v>2023</v>
      </c>
      <c r="I528">
        <v>2</v>
      </c>
      <c r="J528">
        <v>6</v>
      </c>
      <c r="K528" t="s">
        <v>1051</v>
      </c>
      <c r="L528" t="s">
        <v>1042</v>
      </c>
      <c r="M528">
        <v>2023</v>
      </c>
      <c r="N528" t="s">
        <v>1075</v>
      </c>
      <c r="O528">
        <v>4</v>
      </c>
    </row>
    <row r="529" spans="1:15" x14ac:dyDescent="0.25">
      <c r="A529" t="s">
        <v>556</v>
      </c>
      <c r="B529" t="s">
        <v>17</v>
      </c>
      <c r="C529">
        <v>119</v>
      </c>
      <c r="D529" t="s">
        <v>6</v>
      </c>
      <c r="E529">
        <v>116</v>
      </c>
      <c r="F529">
        <v>3.8</v>
      </c>
      <c r="G529" s="8">
        <v>45084</v>
      </c>
      <c r="H529">
        <v>2023</v>
      </c>
      <c r="I529">
        <v>2</v>
      </c>
      <c r="J529">
        <v>6</v>
      </c>
      <c r="K529" t="s">
        <v>1051</v>
      </c>
      <c r="L529" t="s">
        <v>1043</v>
      </c>
      <c r="M529">
        <v>2023</v>
      </c>
      <c r="N529" t="s">
        <v>1074</v>
      </c>
      <c r="O529">
        <v>4</v>
      </c>
    </row>
    <row r="530" spans="1:15" x14ac:dyDescent="0.25">
      <c r="A530" t="s">
        <v>557</v>
      </c>
      <c r="B530" t="s">
        <v>12</v>
      </c>
      <c r="C530">
        <v>101</v>
      </c>
      <c r="D530" t="s">
        <v>11</v>
      </c>
      <c r="E530">
        <v>132</v>
      </c>
      <c r="F530">
        <v>4.3</v>
      </c>
      <c r="G530" s="8">
        <v>45085</v>
      </c>
      <c r="H530">
        <v>2023</v>
      </c>
      <c r="I530">
        <v>2</v>
      </c>
      <c r="J530">
        <v>6</v>
      </c>
      <c r="K530" t="s">
        <v>1051</v>
      </c>
      <c r="L530" t="s">
        <v>1044</v>
      </c>
      <c r="M530">
        <v>2023</v>
      </c>
      <c r="N530" t="s">
        <v>1074</v>
      </c>
      <c r="O530">
        <v>4</v>
      </c>
    </row>
    <row r="531" spans="1:15" x14ac:dyDescent="0.25">
      <c r="A531" t="s">
        <v>558</v>
      </c>
      <c r="B531" t="s">
        <v>7</v>
      </c>
      <c r="C531">
        <v>59</v>
      </c>
      <c r="D531" t="s">
        <v>6</v>
      </c>
      <c r="E531">
        <v>90</v>
      </c>
      <c r="F531">
        <v>3.5</v>
      </c>
      <c r="G531" s="8">
        <v>45086</v>
      </c>
      <c r="H531">
        <v>2023</v>
      </c>
      <c r="I531">
        <v>2</v>
      </c>
      <c r="J531">
        <v>6</v>
      </c>
      <c r="K531" t="s">
        <v>1051</v>
      </c>
      <c r="L531" t="s">
        <v>1045</v>
      </c>
      <c r="M531">
        <v>2023</v>
      </c>
      <c r="N531" t="s">
        <v>1076</v>
      </c>
      <c r="O531">
        <v>4</v>
      </c>
    </row>
    <row r="532" spans="1:15" x14ac:dyDescent="0.25">
      <c r="A532" t="s">
        <v>559</v>
      </c>
      <c r="B532" t="s">
        <v>14</v>
      </c>
      <c r="C532">
        <v>125</v>
      </c>
      <c r="D532" t="s">
        <v>10</v>
      </c>
      <c r="E532">
        <v>87</v>
      </c>
      <c r="F532">
        <v>4.0999999999999996</v>
      </c>
      <c r="G532" s="8">
        <v>45086</v>
      </c>
      <c r="H532">
        <v>2023</v>
      </c>
      <c r="I532">
        <v>2</v>
      </c>
      <c r="J532">
        <v>6</v>
      </c>
      <c r="K532" t="s">
        <v>1051</v>
      </c>
      <c r="L532" t="s">
        <v>1045</v>
      </c>
      <c r="M532">
        <v>2023</v>
      </c>
      <c r="N532" t="s">
        <v>1075</v>
      </c>
      <c r="O532">
        <v>4</v>
      </c>
    </row>
    <row r="533" spans="1:15" x14ac:dyDescent="0.25">
      <c r="A533" t="s">
        <v>560</v>
      </c>
      <c r="B533" t="s">
        <v>18</v>
      </c>
      <c r="C533">
        <v>147</v>
      </c>
      <c r="D533" t="s">
        <v>6</v>
      </c>
      <c r="E533">
        <v>140</v>
      </c>
      <c r="F533">
        <v>4.2</v>
      </c>
      <c r="G533" s="8">
        <v>45086</v>
      </c>
      <c r="H533">
        <v>2023</v>
      </c>
      <c r="I533">
        <v>2</v>
      </c>
      <c r="J533">
        <v>6</v>
      </c>
      <c r="K533" t="s">
        <v>1051</v>
      </c>
      <c r="L533" t="s">
        <v>1045</v>
      </c>
      <c r="M533">
        <v>2023</v>
      </c>
      <c r="N533" t="s">
        <v>1075</v>
      </c>
      <c r="O533">
        <v>4</v>
      </c>
    </row>
    <row r="534" spans="1:15" x14ac:dyDescent="0.25">
      <c r="A534" t="s">
        <v>561</v>
      </c>
      <c r="B534" t="s">
        <v>24</v>
      </c>
      <c r="C534">
        <v>76</v>
      </c>
      <c r="D534" t="s">
        <v>6</v>
      </c>
      <c r="E534">
        <v>164</v>
      </c>
      <c r="F534">
        <v>4.5</v>
      </c>
      <c r="G534" s="8">
        <v>45086</v>
      </c>
      <c r="H534">
        <v>2023</v>
      </c>
      <c r="I534">
        <v>2</v>
      </c>
      <c r="J534">
        <v>6</v>
      </c>
      <c r="K534" t="s">
        <v>1051</v>
      </c>
      <c r="L534" t="s">
        <v>1045</v>
      </c>
      <c r="M534">
        <v>2023</v>
      </c>
      <c r="N534" t="s">
        <v>1074</v>
      </c>
      <c r="O534">
        <v>4</v>
      </c>
    </row>
    <row r="535" spans="1:15" x14ac:dyDescent="0.25">
      <c r="A535" t="s">
        <v>562</v>
      </c>
      <c r="B535" t="s">
        <v>15</v>
      </c>
      <c r="C535">
        <v>99</v>
      </c>
      <c r="D535" t="s">
        <v>11</v>
      </c>
      <c r="E535">
        <v>180</v>
      </c>
      <c r="F535">
        <v>3.8</v>
      </c>
      <c r="G535" s="8">
        <v>45087</v>
      </c>
      <c r="H535">
        <v>2023</v>
      </c>
      <c r="I535">
        <v>2</v>
      </c>
      <c r="J535">
        <v>6</v>
      </c>
      <c r="K535" t="s">
        <v>1051</v>
      </c>
      <c r="L535" t="s">
        <v>1046</v>
      </c>
      <c r="M535">
        <v>2023</v>
      </c>
      <c r="N535" t="s">
        <v>1074</v>
      </c>
      <c r="O535">
        <v>4</v>
      </c>
    </row>
    <row r="536" spans="1:15" x14ac:dyDescent="0.25">
      <c r="A536" t="s">
        <v>563</v>
      </c>
      <c r="B536" t="s">
        <v>5</v>
      </c>
      <c r="C536">
        <v>111</v>
      </c>
      <c r="D536" t="s">
        <v>13</v>
      </c>
      <c r="E536">
        <v>22</v>
      </c>
      <c r="F536">
        <v>4.0999999999999996</v>
      </c>
      <c r="G536" s="8">
        <v>45088</v>
      </c>
      <c r="H536">
        <v>2023</v>
      </c>
      <c r="I536">
        <v>2</v>
      </c>
      <c r="J536">
        <v>6</v>
      </c>
      <c r="K536" t="s">
        <v>1051</v>
      </c>
      <c r="L536" t="s">
        <v>1040</v>
      </c>
      <c r="M536">
        <v>2023</v>
      </c>
      <c r="N536" t="s">
        <v>1074</v>
      </c>
      <c r="O536">
        <v>4</v>
      </c>
    </row>
    <row r="537" spans="1:15" x14ac:dyDescent="0.25">
      <c r="A537" t="s">
        <v>564</v>
      </c>
      <c r="B537" t="s">
        <v>8</v>
      </c>
      <c r="C537">
        <v>147</v>
      </c>
      <c r="D537" t="s">
        <v>10</v>
      </c>
      <c r="E537">
        <v>82</v>
      </c>
      <c r="F537">
        <v>4.4000000000000004</v>
      </c>
      <c r="G537" s="8">
        <v>45088</v>
      </c>
      <c r="H537">
        <v>2023</v>
      </c>
      <c r="I537">
        <v>2</v>
      </c>
      <c r="J537">
        <v>6</v>
      </c>
      <c r="K537" t="s">
        <v>1051</v>
      </c>
      <c r="L537" t="s">
        <v>1040</v>
      </c>
      <c r="M537">
        <v>2023</v>
      </c>
      <c r="N537" t="s">
        <v>1075</v>
      </c>
      <c r="O537">
        <v>4</v>
      </c>
    </row>
    <row r="538" spans="1:15" x14ac:dyDescent="0.25">
      <c r="A538" t="s">
        <v>565</v>
      </c>
      <c r="B538" t="s">
        <v>20</v>
      </c>
      <c r="C538">
        <v>141</v>
      </c>
      <c r="D538" t="s">
        <v>11</v>
      </c>
      <c r="E538">
        <v>100</v>
      </c>
      <c r="F538">
        <v>4.5999999999999996</v>
      </c>
      <c r="G538" s="8">
        <v>45088</v>
      </c>
      <c r="H538">
        <v>2023</v>
      </c>
      <c r="I538">
        <v>2</v>
      </c>
      <c r="J538">
        <v>6</v>
      </c>
      <c r="K538" t="s">
        <v>1051</v>
      </c>
      <c r="L538" t="s">
        <v>1040</v>
      </c>
      <c r="M538">
        <v>2023</v>
      </c>
      <c r="N538" t="s">
        <v>1075</v>
      </c>
      <c r="O538">
        <v>5</v>
      </c>
    </row>
    <row r="539" spans="1:15" x14ac:dyDescent="0.25">
      <c r="A539" t="s">
        <v>566</v>
      </c>
      <c r="B539" t="s">
        <v>24</v>
      </c>
      <c r="C539">
        <v>71</v>
      </c>
      <c r="D539" t="s">
        <v>6</v>
      </c>
      <c r="E539">
        <v>52</v>
      </c>
      <c r="F539">
        <v>3.4</v>
      </c>
      <c r="G539" s="8">
        <v>45089</v>
      </c>
      <c r="H539">
        <v>2023</v>
      </c>
      <c r="I539">
        <v>2</v>
      </c>
      <c r="J539">
        <v>6</v>
      </c>
      <c r="K539" t="s">
        <v>1051</v>
      </c>
      <c r="L539" t="s">
        <v>1041</v>
      </c>
      <c r="M539">
        <v>2023</v>
      </c>
      <c r="N539" t="s">
        <v>1074</v>
      </c>
      <c r="O539">
        <v>3</v>
      </c>
    </row>
    <row r="540" spans="1:15" x14ac:dyDescent="0.25">
      <c r="A540" t="s">
        <v>567</v>
      </c>
      <c r="B540" t="s">
        <v>24</v>
      </c>
      <c r="C540">
        <v>121</v>
      </c>
      <c r="D540" t="s">
        <v>10</v>
      </c>
      <c r="E540">
        <v>84</v>
      </c>
      <c r="F540">
        <v>4.5999999999999996</v>
      </c>
      <c r="G540" s="8">
        <v>45090</v>
      </c>
      <c r="H540">
        <v>2023</v>
      </c>
      <c r="I540">
        <v>2</v>
      </c>
      <c r="J540">
        <v>6</v>
      </c>
      <c r="K540" t="s">
        <v>1051</v>
      </c>
      <c r="L540" t="s">
        <v>1042</v>
      </c>
      <c r="M540">
        <v>2023</v>
      </c>
      <c r="N540" t="s">
        <v>1075</v>
      </c>
      <c r="O540">
        <v>5</v>
      </c>
    </row>
    <row r="541" spans="1:15" x14ac:dyDescent="0.25">
      <c r="A541" t="s">
        <v>568</v>
      </c>
      <c r="B541" t="s">
        <v>24</v>
      </c>
      <c r="C541">
        <v>60</v>
      </c>
      <c r="D541" t="s">
        <v>10</v>
      </c>
      <c r="E541">
        <v>37</v>
      </c>
      <c r="F541">
        <v>3.9</v>
      </c>
      <c r="G541" s="8">
        <v>45090</v>
      </c>
      <c r="H541">
        <v>2023</v>
      </c>
      <c r="I541">
        <v>2</v>
      </c>
      <c r="J541">
        <v>6</v>
      </c>
      <c r="K541" t="s">
        <v>1051</v>
      </c>
      <c r="L541" t="s">
        <v>1042</v>
      </c>
      <c r="M541">
        <v>2023</v>
      </c>
      <c r="N541" t="s">
        <v>1076</v>
      </c>
      <c r="O541">
        <v>4</v>
      </c>
    </row>
    <row r="542" spans="1:15" x14ac:dyDescent="0.25">
      <c r="A542" t="s">
        <v>569</v>
      </c>
      <c r="B542" t="s">
        <v>19</v>
      </c>
      <c r="C542">
        <v>158</v>
      </c>
      <c r="D542" t="s">
        <v>11</v>
      </c>
      <c r="E542">
        <v>190</v>
      </c>
      <c r="F542">
        <v>4</v>
      </c>
      <c r="G542" s="8">
        <v>45091</v>
      </c>
      <c r="H542">
        <v>2023</v>
      </c>
      <c r="I542">
        <v>2</v>
      </c>
      <c r="J542">
        <v>6</v>
      </c>
      <c r="K542" t="s">
        <v>1051</v>
      </c>
      <c r="L542" t="s">
        <v>1043</v>
      </c>
      <c r="M542">
        <v>2023</v>
      </c>
      <c r="N542" t="s">
        <v>1075</v>
      </c>
      <c r="O542">
        <v>4</v>
      </c>
    </row>
    <row r="543" spans="1:15" x14ac:dyDescent="0.25">
      <c r="A543" t="s">
        <v>570</v>
      </c>
      <c r="B543" t="s">
        <v>18</v>
      </c>
      <c r="C543">
        <v>159</v>
      </c>
      <c r="D543" t="s">
        <v>9</v>
      </c>
      <c r="E543">
        <v>66</v>
      </c>
      <c r="F543">
        <v>3.4</v>
      </c>
      <c r="G543" s="8">
        <v>45091</v>
      </c>
      <c r="H543">
        <v>2023</v>
      </c>
      <c r="I543">
        <v>2</v>
      </c>
      <c r="J543">
        <v>6</v>
      </c>
      <c r="K543" t="s">
        <v>1051</v>
      </c>
      <c r="L543" t="s">
        <v>1043</v>
      </c>
      <c r="M543">
        <v>2023</v>
      </c>
      <c r="N543" t="s">
        <v>1075</v>
      </c>
      <c r="O543">
        <v>3</v>
      </c>
    </row>
    <row r="544" spans="1:15" x14ac:dyDescent="0.25">
      <c r="A544" t="s">
        <v>571</v>
      </c>
      <c r="B544" t="s">
        <v>12</v>
      </c>
      <c r="C544">
        <v>70</v>
      </c>
      <c r="D544" t="s">
        <v>6</v>
      </c>
      <c r="E544">
        <v>116</v>
      </c>
      <c r="F544">
        <v>3.2</v>
      </c>
      <c r="G544" s="8">
        <v>45092</v>
      </c>
      <c r="H544">
        <v>2023</v>
      </c>
      <c r="I544">
        <v>2</v>
      </c>
      <c r="J544">
        <v>6</v>
      </c>
      <c r="K544" t="s">
        <v>1051</v>
      </c>
      <c r="L544" t="s">
        <v>1044</v>
      </c>
      <c r="M544">
        <v>2023</v>
      </c>
      <c r="N544" t="s">
        <v>1074</v>
      </c>
      <c r="O544">
        <v>3</v>
      </c>
    </row>
    <row r="545" spans="1:15" x14ac:dyDescent="0.25">
      <c r="A545" t="s">
        <v>572</v>
      </c>
      <c r="B545" t="s">
        <v>16</v>
      </c>
      <c r="C545">
        <v>78</v>
      </c>
      <c r="D545" t="s">
        <v>13</v>
      </c>
      <c r="E545">
        <v>28</v>
      </c>
      <c r="F545">
        <v>3.9</v>
      </c>
      <c r="G545" s="8">
        <v>45092</v>
      </c>
      <c r="H545">
        <v>2023</v>
      </c>
      <c r="I545">
        <v>2</v>
      </c>
      <c r="J545">
        <v>6</v>
      </c>
      <c r="K545" t="s">
        <v>1051</v>
      </c>
      <c r="L545" t="s">
        <v>1044</v>
      </c>
      <c r="M545">
        <v>2023</v>
      </c>
      <c r="N545" t="s">
        <v>1074</v>
      </c>
      <c r="O545">
        <v>4</v>
      </c>
    </row>
    <row r="546" spans="1:15" x14ac:dyDescent="0.25">
      <c r="A546" t="s">
        <v>573</v>
      </c>
      <c r="B546" t="s">
        <v>8</v>
      </c>
      <c r="C546">
        <v>103</v>
      </c>
      <c r="D546" t="s">
        <v>6</v>
      </c>
      <c r="E546">
        <v>120</v>
      </c>
      <c r="F546">
        <v>5</v>
      </c>
      <c r="G546" s="8">
        <v>45092</v>
      </c>
      <c r="H546">
        <v>2023</v>
      </c>
      <c r="I546">
        <v>2</v>
      </c>
      <c r="J546">
        <v>6</v>
      </c>
      <c r="K546" t="s">
        <v>1051</v>
      </c>
      <c r="L546" t="s">
        <v>1044</v>
      </c>
      <c r="M546">
        <v>2023</v>
      </c>
      <c r="N546" t="s">
        <v>1074</v>
      </c>
      <c r="O546">
        <v>5</v>
      </c>
    </row>
    <row r="547" spans="1:15" x14ac:dyDescent="0.25">
      <c r="A547" t="s">
        <v>574</v>
      </c>
      <c r="B547" t="s">
        <v>23</v>
      </c>
      <c r="C547">
        <v>108</v>
      </c>
      <c r="D547" t="s">
        <v>11</v>
      </c>
      <c r="E547">
        <v>56</v>
      </c>
      <c r="F547">
        <v>3.5</v>
      </c>
      <c r="G547" s="8">
        <v>45092</v>
      </c>
      <c r="H547">
        <v>2023</v>
      </c>
      <c r="I547">
        <v>2</v>
      </c>
      <c r="J547">
        <v>6</v>
      </c>
      <c r="K547" t="s">
        <v>1051</v>
      </c>
      <c r="L547" t="s">
        <v>1044</v>
      </c>
      <c r="M547">
        <v>2023</v>
      </c>
      <c r="N547" t="s">
        <v>1074</v>
      </c>
      <c r="O547">
        <v>4</v>
      </c>
    </row>
    <row r="548" spans="1:15" x14ac:dyDescent="0.25">
      <c r="A548" t="s">
        <v>575</v>
      </c>
      <c r="B548" t="s">
        <v>23</v>
      </c>
      <c r="C548">
        <v>44</v>
      </c>
      <c r="D548" t="s">
        <v>10</v>
      </c>
      <c r="E548">
        <v>170</v>
      </c>
      <c r="F548">
        <v>3.8</v>
      </c>
      <c r="G548" s="8">
        <v>45092</v>
      </c>
      <c r="H548">
        <v>2023</v>
      </c>
      <c r="I548">
        <v>2</v>
      </c>
      <c r="J548">
        <v>6</v>
      </c>
      <c r="K548" t="s">
        <v>1051</v>
      </c>
      <c r="L548" t="s">
        <v>1044</v>
      </c>
      <c r="M548">
        <v>2023</v>
      </c>
      <c r="N548" t="s">
        <v>1076</v>
      </c>
      <c r="O548">
        <v>4</v>
      </c>
    </row>
    <row r="549" spans="1:15" x14ac:dyDescent="0.25">
      <c r="A549" t="s">
        <v>576</v>
      </c>
      <c r="B549" t="s">
        <v>16</v>
      </c>
      <c r="C549">
        <v>127</v>
      </c>
      <c r="D549" t="s">
        <v>11</v>
      </c>
      <c r="E549">
        <v>200</v>
      </c>
      <c r="F549">
        <v>4.8</v>
      </c>
      <c r="G549" s="8">
        <v>45093</v>
      </c>
      <c r="H549">
        <v>2023</v>
      </c>
      <c r="I549">
        <v>2</v>
      </c>
      <c r="J549">
        <v>6</v>
      </c>
      <c r="K549" t="s">
        <v>1051</v>
      </c>
      <c r="L549" t="s">
        <v>1045</v>
      </c>
      <c r="M549">
        <v>2023</v>
      </c>
      <c r="N549" t="s">
        <v>1075</v>
      </c>
      <c r="O549">
        <v>5</v>
      </c>
    </row>
    <row r="550" spans="1:15" x14ac:dyDescent="0.25">
      <c r="A550" t="s">
        <v>577</v>
      </c>
      <c r="B550" t="s">
        <v>8</v>
      </c>
      <c r="C550">
        <v>132</v>
      </c>
      <c r="D550" t="s">
        <v>6</v>
      </c>
      <c r="E550">
        <v>50</v>
      </c>
      <c r="F550">
        <v>4.2</v>
      </c>
      <c r="G550" s="8">
        <v>45094</v>
      </c>
      <c r="H550">
        <v>2023</v>
      </c>
      <c r="I550">
        <v>2</v>
      </c>
      <c r="J550">
        <v>6</v>
      </c>
      <c r="K550" t="s">
        <v>1051</v>
      </c>
      <c r="L550" t="s">
        <v>1046</v>
      </c>
      <c r="M550">
        <v>2023</v>
      </c>
      <c r="N550" t="s">
        <v>1075</v>
      </c>
      <c r="O550">
        <v>4</v>
      </c>
    </row>
    <row r="551" spans="1:15" x14ac:dyDescent="0.25">
      <c r="A551" t="s">
        <v>578</v>
      </c>
      <c r="B551" t="s">
        <v>20</v>
      </c>
      <c r="C551">
        <v>106</v>
      </c>
      <c r="D551" t="s">
        <v>13</v>
      </c>
      <c r="E551">
        <v>112</v>
      </c>
      <c r="F551">
        <v>3.7</v>
      </c>
      <c r="G551" s="8">
        <v>45094</v>
      </c>
      <c r="H551">
        <v>2023</v>
      </c>
      <c r="I551">
        <v>2</v>
      </c>
      <c r="J551">
        <v>6</v>
      </c>
      <c r="K551" t="s">
        <v>1051</v>
      </c>
      <c r="L551" t="s">
        <v>1046</v>
      </c>
      <c r="M551">
        <v>2023</v>
      </c>
      <c r="N551" t="s">
        <v>1074</v>
      </c>
      <c r="O551">
        <v>4</v>
      </c>
    </row>
    <row r="552" spans="1:15" x14ac:dyDescent="0.25">
      <c r="A552" t="s">
        <v>579</v>
      </c>
      <c r="B552" t="s">
        <v>5</v>
      </c>
      <c r="C552">
        <v>107</v>
      </c>
      <c r="D552" t="s">
        <v>6</v>
      </c>
      <c r="E552">
        <v>39</v>
      </c>
      <c r="F552">
        <v>4.8</v>
      </c>
      <c r="G552" s="8">
        <v>45095</v>
      </c>
      <c r="H552">
        <v>2023</v>
      </c>
      <c r="I552">
        <v>2</v>
      </c>
      <c r="J552">
        <v>6</v>
      </c>
      <c r="K552" t="s">
        <v>1051</v>
      </c>
      <c r="L552" t="s">
        <v>1040</v>
      </c>
      <c r="M552">
        <v>2023</v>
      </c>
      <c r="N552" t="s">
        <v>1074</v>
      </c>
      <c r="O552">
        <v>5</v>
      </c>
    </row>
    <row r="553" spans="1:15" x14ac:dyDescent="0.25">
      <c r="A553" t="s">
        <v>580</v>
      </c>
      <c r="B553" t="s">
        <v>18</v>
      </c>
      <c r="C553">
        <v>85</v>
      </c>
      <c r="D553" t="s">
        <v>13</v>
      </c>
      <c r="E553">
        <v>38</v>
      </c>
      <c r="F553">
        <v>4.8</v>
      </c>
      <c r="G553" s="8">
        <v>45095</v>
      </c>
      <c r="H553">
        <v>2023</v>
      </c>
      <c r="I553">
        <v>2</v>
      </c>
      <c r="J553">
        <v>6</v>
      </c>
      <c r="K553" t="s">
        <v>1051</v>
      </c>
      <c r="L553" t="s">
        <v>1040</v>
      </c>
      <c r="M553">
        <v>2023</v>
      </c>
      <c r="N553" t="s">
        <v>1074</v>
      </c>
      <c r="O553">
        <v>5</v>
      </c>
    </row>
    <row r="554" spans="1:15" x14ac:dyDescent="0.25">
      <c r="A554" t="s">
        <v>581</v>
      </c>
      <c r="B554" t="s">
        <v>15</v>
      </c>
      <c r="C554">
        <v>49</v>
      </c>
      <c r="D554" t="s">
        <v>6</v>
      </c>
      <c r="E554">
        <v>84</v>
      </c>
      <c r="F554">
        <v>2.9</v>
      </c>
      <c r="G554" s="8">
        <v>45096</v>
      </c>
      <c r="H554">
        <v>2023</v>
      </c>
      <c r="I554">
        <v>2</v>
      </c>
      <c r="J554">
        <v>6</v>
      </c>
      <c r="K554" t="s">
        <v>1051</v>
      </c>
      <c r="L554" t="s">
        <v>1041</v>
      </c>
      <c r="M554">
        <v>2023</v>
      </c>
      <c r="N554" t="s">
        <v>1076</v>
      </c>
      <c r="O554">
        <v>3</v>
      </c>
    </row>
    <row r="555" spans="1:15" x14ac:dyDescent="0.25">
      <c r="A555" t="s">
        <v>582</v>
      </c>
      <c r="B555" t="s">
        <v>24</v>
      </c>
      <c r="C555">
        <v>117</v>
      </c>
      <c r="D555" t="s">
        <v>11</v>
      </c>
      <c r="E555">
        <v>82</v>
      </c>
      <c r="F555">
        <v>3.5</v>
      </c>
      <c r="G555" s="8">
        <v>45097</v>
      </c>
      <c r="H555">
        <v>2023</v>
      </c>
      <c r="I555">
        <v>2</v>
      </c>
      <c r="J555">
        <v>6</v>
      </c>
      <c r="K555" t="s">
        <v>1051</v>
      </c>
      <c r="L555" t="s">
        <v>1042</v>
      </c>
      <c r="M555">
        <v>2023</v>
      </c>
      <c r="N555" t="s">
        <v>1074</v>
      </c>
      <c r="O555">
        <v>4</v>
      </c>
    </row>
    <row r="556" spans="1:15" x14ac:dyDescent="0.25">
      <c r="A556" t="s">
        <v>584</v>
      </c>
      <c r="B556" t="s">
        <v>23</v>
      </c>
      <c r="C556">
        <v>130</v>
      </c>
      <c r="D556" t="s">
        <v>9</v>
      </c>
      <c r="E556">
        <v>87</v>
      </c>
      <c r="F556">
        <v>3.4</v>
      </c>
      <c r="G556" s="8">
        <v>45098</v>
      </c>
      <c r="H556">
        <v>2023</v>
      </c>
      <c r="I556">
        <v>2</v>
      </c>
      <c r="J556">
        <v>6</v>
      </c>
      <c r="K556" t="s">
        <v>1051</v>
      </c>
      <c r="L556" t="s">
        <v>1043</v>
      </c>
      <c r="M556">
        <v>2023</v>
      </c>
      <c r="N556" t="s">
        <v>1075</v>
      </c>
      <c r="O556">
        <v>3</v>
      </c>
    </row>
    <row r="557" spans="1:15" x14ac:dyDescent="0.25">
      <c r="A557" t="s">
        <v>585</v>
      </c>
      <c r="B557" t="s">
        <v>23</v>
      </c>
      <c r="C557">
        <v>73</v>
      </c>
      <c r="D557" t="s">
        <v>9</v>
      </c>
      <c r="E557">
        <v>75</v>
      </c>
      <c r="F557">
        <v>2.7</v>
      </c>
      <c r="G557" s="8">
        <v>45098</v>
      </c>
      <c r="H557">
        <v>2023</v>
      </c>
      <c r="I557">
        <v>2</v>
      </c>
      <c r="J557">
        <v>6</v>
      </c>
      <c r="K557" t="s">
        <v>1051</v>
      </c>
      <c r="L557" t="s">
        <v>1043</v>
      </c>
      <c r="M557">
        <v>2023</v>
      </c>
      <c r="N557" t="s">
        <v>1074</v>
      </c>
      <c r="O557">
        <v>3</v>
      </c>
    </row>
    <row r="558" spans="1:15" x14ac:dyDescent="0.25">
      <c r="A558" t="s">
        <v>586</v>
      </c>
      <c r="B558" t="s">
        <v>15</v>
      </c>
      <c r="C558">
        <v>80</v>
      </c>
      <c r="D558" t="s">
        <v>6</v>
      </c>
      <c r="E558">
        <v>32</v>
      </c>
      <c r="F558">
        <v>4.7</v>
      </c>
      <c r="G558" s="8">
        <v>45098</v>
      </c>
      <c r="H558">
        <v>2023</v>
      </c>
      <c r="I558">
        <v>2</v>
      </c>
      <c r="J558">
        <v>6</v>
      </c>
      <c r="K558" t="s">
        <v>1051</v>
      </c>
      <c r="L558" t="s">
        <v>1043</v>
      </c>
      <c r="M558">
        <v>2023</v>
      </c>
      <c r="N558" t="s">
        <v>1074</v>
      </c>
      <c r="O558">
        <v>5</v>
      </c>
    </row>
    <row r="559" spans="1:15" x14ac:dyDescent="0.25">
      <c r="A559" t="s">
        <v>587</v>
      </c>
      <c r="B559" t="s">
        <v>17</v>
      </c>
      <c r="C559">
        <v>44</v>
      </c>
      <c r="D559" t="s">
        <v>11</v>
      </c>
      <c r="E559">
        <v>33</v>
      </c>
      <c r="F559">
        <v>3</v>
      </c>
      <c r="G559" s="8">
        <v>45098</v>
      </c>
      <c r="H559">
        <v>2023</v>
      </c>
      <c r="I559">
        <v>2</v>
      </c>
      <c r="J559">
        <v>6</v>
      </c>
      <c r="K559" t="s">
        <v>1051</v>
      </c>
      <c r="L559" t="s">
        <v>1043</v>
      </c>
      <c r="M559">
        <v>2023</v>
      </c>
      <c r="N559" t="s">
        <v>1076</v>
      </c>
      <c r="O559">
        <v>3</v>
      </c>
    </row>
    <row r="560" spans="1:15" x14ac:dyDescent="0.25">
      <c r="A560" t="s">
        <v>588</v>
      </c>
      <c r="B560" t="s">
        <v>17</v>
      </c>
      <c r="C560">
        <v>102</v>
      </c>
      <c r="D560" t="s">
        <v>10</v>
      </c>
      <c r="E560">
        <v>76</v>
      </c>
      <c r="F560">
        <v>4.2</v>
      </c>
      <c r="G560" s="8">
        <v>45098</v>
      </c>
      <c r="H560">
        <v>2023</v>
      </c>
      <c r="I560">
        <v>2</v>
      </c>
      <c r="J560">
        <v>6</v>
      </c>
      <c r="K560" t="s">
        <v>1051</v>
      </c>
      <c r="L560" t="s">
        <v>1043</v>
      </c>
      <c r="M560">
        <v>2023</v>
      </c>
      <c r="N560" t="s">
        <v>1074</v>
      </c>
      <c r="O560">
        <v>4</v>
      </c>
    </row>
    <row r="561" spans="1:15" x14ac:dyDescent="0.25">
      <c r="A561" t="s">
        <v>589</v>
      </c>
      <c r="B561" t="s">
        <v>19</v>
      </c>
      <c r="C561">
        <v>74</v>
      </c>
      <c r="D561" t="s">
        <v>10</v>
      </c>
      <c r="E561">
        <v>117</v>
      </c>
      <c r="F561">
        <v>4.8</v>
      </c>
      <c r="G561" s="8">
        <v>45098</v>
      </c>
      <c r="H561">
        <v>2023</v>
      </c>
      <c r="I561">
        <v>2</v>
      </c>
      <c r="J561">
        <v>6</v>
      </c>
      <c r="K561" t="s">
        <v>1051</v>
      </c>
      <c r="L561" t="s">
        <v>1043</v>
      </c>
      <c r="M561">
        <v>2023</v>
      </c>
      <c r="N561" t="s">
        <v>1074</v>
      </c>
      <c r="O561">
        <v>5</v>
      </c>
    </row>
    <row r="562" spans="1:15" x14ac:dyDescent="0.25">
      <c r="A562" t="s">
        <v>590</v>
      </c>
      <c r="B562" t="s">
        <v>15</v>
      </c>
      <c r="C562">
        <v>52</v>
      </c>
      <c r="D562" t="s">
        <v>11</v>
      </c>
      <c r="E562">
        <v>70</v>
      </c>
      <c r="F562">
        <v>4.0999999999999996</v>
      </c>
      <c r="G562" s="8">
        <v>45100</v>
      </c>
      <c r="H562">
        <v>2023</v>
      </c>
      <c r="I562">
        <v>2</v>
      </c>
      <c r="J562">
        <v>6</v>
      </c>
      <c r="K562" t="s">
        <v>1051</v>
      </c>
      <c r="L562" t="s">
        <v>1045</v>
      </c>
      <c r="M562">
        <v>2023</v>
      </c>
      <c r="N562" t="s">
        <v>1076</v>
      </c>
      <c r="O562">
        <v>4</v>
      </c>
    </row>
    <row r="563" spans="1:15" x14ac:dyDescent="0.25">
      <c r="A563" t="s">
        <v>591</v>
      </c>
      <c r="B563" t="s">
        <v>15</v>
      </c>
      <c r="C563">
        <v>74</v>
      </c>
      <c r="D563" t="s">
        <v>9</v>
      </c>
      <c r="E563">
        <v>37</v>
      </c>
      <c r="F563">
        <v>2.7</v>
      </c>
      <c r="G563" s="8">
        <v>45100</v>
      </c>
      <c r="H563">
        <v>2023</v>
      </c>
      <c r="I563">
        <v>2</v>
      </c>
      <c r="J563">
        <v>6</v>
      </c>
      <c r="K563" t="s">
        <v>1051</v>
      </c>
      <c r="L563" t="s">
        <v>1045</v>
      </c>
      <c r="M563">
        <v>2023</v>
      </c>
      <c r="N563" t="s">
        <v>1074</v>
      </c>
      <c r="O563">
        <v>3</v>
      </c>
    </row>
    <row r="564" spans="1:15" x14ac:dyDescent="0.25">
      <c r="A564" t="s">
        <v>592</v>
      </c>
      <c r="B564" t="s">
        <v>23</v>
      </c>
      <c r="C564">
        <v>96</v>
      </c>
      <c r="D564" t="s">
        <v>10</v>
      </c>
      <c r="E564">
        <v>46</v>
      </c>
      <c r="F564">
        <v>2.9</v>
      </c>
      <c r="G564" s="8">
        <v>45100</v>
      </c>
      <c r="H564">
        <v>2023</v>
      </c>
      <c r="I564">
        <v>2</v>
      </c>
      <c r="J564">
        <v>6</v>
      </c>
      <c r="K564" t="s">
        <v>1051</v>
      </c>
      <c r="L564" t="s">
        <v>1045</v>
      </c>
      <c r="M564">
        <v>2023</v>
      </c>
      <c r="N564" t="s">
        <v>1074</v>
      </c>
      <c r="O564">
        <v>3</v>
      </c>
    </row>
    <row r="565" spans="1:15" x14ac:dyDescent="0.25">
      <c r="A565" t="s">
        <v>593</v>
      </c>
      <c r="B565" t="s">
        <v>14</v>
      </c>
      <c r="C565">
        <v>104</v>
      </c>
      <c r="D565" t="s">
        <v>6</v>
      </c>
      <c r="E565">
        <v>136</v>
      </c>
      <c r="F565">
        <v>5</v>
      </c>
      <c r="G565" s="8">
        <v>45100</v>
      </c>
      <c r="H565">
        <v>2023</v>
      </c>
      <c r="I565">
        <v>2</v>
      </c>
      <c r="J565">
        <v>6</v>
      </c>
      <c r="K565" t="s">
        <v>1051</v>
      </c>
      <c r="L565" t="s">
        <v>1045</v>
      </c>
      <c r="M565">
        <v>2023</v>
      </c>
      <c r="N565" t="s">
        <v>1074</v>
      </c>
      <c r="O565">
        <v>5</v>
      </c>
    </row>
    <row r="566" spans="1:15" x14ac:dyDescent="0.25">
      <c r="A566" t="s">
        <v>594</v>
      </c>
      <c r="B566" t="s">
        <v>23</v>
      </c>
      <c r="C566">
        <v>123</v>
      </c>
      <c r="D566" t="s">
        <v>10</v>
      </c>
      <c r="E566">
        <v>44</v>
      </c>
      <c r="F566">
        <v>4.5999999999999996</v>
      </c>
      <c r="G566" s="8">
        <v>45101</v>
      </c>
      <c r="H566">
        <v>2023</v>
      </c>
      <c r="I566">
        <v>2</v>
      </c>
      <c r="J566">
        <v>6</v>
      </c>
      <c r="K566" t="s">
        <v>1051</v>
      </c>
      <c r="L566" t="s">
        <v>1046</v>
      </c>
      <c r="M566">
        <v>2023</v>
      </c>
      <c r="N566" t="s">
        <v>1075</v>
      </c>
      <c r="O566">
        <v>5</v>
      </c>
    </row>
    <row r="567" spans="1:15" x14ac:dyDescent="0.25">
      <c r="A567" t="s">
        <v>595</v>
      </c>
      <c r="B567" t="s">
        <v>22</v>
      </c>
      <c r="C567">
        <v>100</v>
      </c>
      <c r="D567" t="s">
        <v>13</v>
      </c>
      <c r="E567">
        <v>69</v>
      </c>
      <c r="F567">
        <v>3</v>
      </c>
      <c r="G567" s="8">
        <v>45101</v>
      </c>
      <c r="H567">
        <v>2023</v>
      </c>
      <c r="I567">
        <v>2</v>
      </c>
      <c r="J567">
        <v>6</v>
      </c>
      <c r="K567" t="s">
        <v>1051</v>
      </c>
      <c r="L567" t="s">
        <v>1046</v>
      </c>
      <c r="M567">
        <v>2023</v>
      </c>
      <c r="N567" t="s">
        <v>1074</v>
      </c>
      <c r="O567">
        <v>3</v>
      </c>
    </row>
    <row r="568" spans="1:15" x14ac:dyDescent="0.25">
      <c r="A568" t="s">
        <v>596</v>
      </c>
      <c r="B568" t="s">
        <v>14</v>
      </c>
      <c r="C568">
        <v>35</v>
      </c>
      <c r="D568" t="s">
        <v>11</v>
      </c>
      <c r="E568">
        <v>86</v>
      </c>
      <c r="F568">
        <v>4.5999999999999996</v>
      </c>
      <c r="G568" s="8">
        <v>45102</v>
      </c>
      <c r="H568">
        <v>2023</v>
      </c>
      <c r="I568">
        <v>2</v>
      </c>
      <c r="J568">
        <v>6</v>
      </c>
      <c r="K568" t="s">
        <v>1051</v>
      </c>
      <c r="L568" t="s">
        <v>1040</v>
      </c>
      <c r="M568">
        <v>2023</v>
      </c>
      <c r="N568" t="s">
        <v>1076</v>
      </c>
      <c r="O568">
        <v>5</v>
      </c>
    </row>
    <row r="569" spans="1:15" x14ac:dyDescent="0.25">
      <c r="A569" t="s">
        <v>597</v>
      </c>
      <c r="B569" t="s">
        <v>15</v>
      </c>
      <c r="C569">
        <v>123</v>
      </c>
      <c r="D569" t="s">
        <v>6</v>
      </c>
      <c r="E569">
        <v>68</v>
      </c>
      <c r="F569">
        <v>4.5</v>
      </c>
      <c r="G569" s="8">
        <v>45102</v>
      </c>
      <c r="H569">
        <v>2023</v>
      </c>
      <c r="I569">
        <v>2</v>
      </c>
      <c r="J569">
        <v>6</v>
      </c>
      <c r="K569" t="s">
        <v>1051</v>
      </c>
      <c r="L569" t="s">
        <v>1040</v>
      </c>
      <c r="M569">
        <v>2023</v>
      </c>
      <c r="N569" t="s">
        <v>1075</v>
      </c>
      <c r="O569">
        <v>4</v>
      </c>
    </row>
    <row r="570" spans="1:15" x14ac:dyDescent="0.25">
      <c r="A570" t="s">
        <v>598</v>
      </c>
      <c r="B570" t="s">
        <v>24</v>
      </c>
      <c r="C570">
        <v>133</v>
      </c>
      <c r="D570" t="s">
        <v>11</v>
      </c>
      <c r="E570">
        <v>21</v>
      </c>
      <c r="F570">
        <v>3.7</v>
      </c>
      <c r="G570" s="8">
        <v>45103</v>
      </c>
      <c r="H570">
        <v>2023</v>
      </c>
      <c r="I570">
        <v>2</v>
      </c>
      <c r="J570">
        <v>6</v>
      </c>
      <c r="K570" t="s">
        <v>1051</v>
      </c>
      <c r="L570" t="s">
        <v>1041</v>
      </c>
      <c r="M570">
        <v>2023</v>
      </c>
      <c r="N570" t="s">
        <v>1075</v>
      </c>
      <c r="O570">
        <v>4</v>
      </c>
    </row>
    <row r="571" spans="1:15" x14ac:dyDescent="0.25">
      <c r="A571" t="s">
        <v>599</v>
      </c>
      <c r="B571" t="s">
        <v>23</v>
      </c>
      <c r="C571">
        <v>126</v>
      </c>
      <c r="D571" t="s">
        <v>9</v>
      </c>
      <c r="E571">
        <v>190</v>
      </c>
      <c r="F571">
        <v>2.4</v>
      </c>
      <c r="G571" s="8">
        <v>45103</v>
      </c>
      <c r="H571">
        <v>2023</v>
      </c>
      <c r="I571">
        <v>2</v>
      </c>
      <c r="J571">
        <v>6</v>
      </c>
      <c r="K571" t="s">
        <v>1051</v>
      </c>
      <c r="L571" t="s">
        <v>1041</v>
      </c>
      <c r="M571">
        <v>2023</v>
      </c>
      <c r="N571" t="s">
        <v>1075</v>
      </c>
      <c r="O571">
        <v>2</v>
      </c>
    </row>
    <row r="572" spans="1:15" x14ac:dyDescent="0.25">
      <c r="A572" t="s">
        <v>600</v>
      </c>
      <c r="B572" t="s">
        <v>15</v>
      </c>
      <c r="C572">
        <v>39</v>
      </c>
      <c r="D572" t="s">
        <v>10</v>
      </c>
      <c r="E572">
        <v>176</v>
      </c>
      <c r="F572">
        <v>4.3</v>
      </c>
      <c r="G572" s="8">
        <v>45103</v>
      </c>
      <c r="H572">
        <v>2023</v>
      </c>
      <c r="I572">
        <v>2</v>
      </c>
      <c r="J572">
        <v>6</v>
      </c>
      <c r="K572" t="s">
        <v>1051</v>
      </c>
      <c r="L572" t="s">
        <v>1041</v>
      </c>
      <c r="M572">
        <v>2023</v>
      </c>
      <c r="N572" t="s">
        <v>1076</v>
      </c>
      <c r="O572">
        <v>4</v>
      </c>
    </row>
    <row r="573" spans="1:15" x14ac:dyDescent="0.25">
      <c r="A573" t="s">
        <v>601</v>
      </c>
      <c r="B573" t="s">
        <v>19</v>
      </c>
      <c r="C573">
        <v>31</v>
      </c>
      <c r="D573" t="s">
        <v>6</v>
      </c>
      <c r="E573">
        <v>172</v>
      </c>
      <c r="F573">
        <v>3.9</v>
      </c>
      <c r="G573" s="8">
        <v>45103</v>
      </c>
      <c r="H573">
        <v>2023</v>
      </c>
      <c r="I573">
        <v>2</v>
      </c>
      <c r="J573">
        <v>6</v>
      </c>
      <c r="K573" t="s">
        <v>1051</v>
      </c>
      <c r="L573" t="s">
        <v>1041</v>
      </c>
      <c r="M573">
        <v>2023</v>
      </c>
      <c r="N573" t="s">
        <v>1076</v>
      </c>
      <c r="O573">
        <v>4</v>
      </c>
    </row>
    <row r="574" spans="1:15" x14ac:dyDescent="0.25">
      <c r="A574" t="s">
        <v>602</v>
      </c>
      <c r="B574" t="s">
        <v>8</v>
      </c>
      <c r="C574">
        <v>25</v>
      </c>
      <c r="D574" t="s">
        <v>11</v>
      </c>
      <c r="E574">
        <v>84</v>
      </c>
      <c r="F574">
        <v>4.5</v>
      </c>
      <c r="G574" s="8">
        <v>45103</v>
      </c>
      <c r="H574">
        <v>2023</v>
      </c>
      <c r="I574">
        <v>2</v>
      </c>
      <c r="J574">
        <v>6</v>
      </c>
      <c r="K574" t="s">
        <v>1051</v>
      </c>
      <c r="L574" t="s">
        <v>1041</v>
      </c>
      <c r="M574">
        <v>2023</v>
      </c>
      <c r="N574" t="s">
        <v>1077</v>
      </c>
      <c r="O574">
        <v>4</v>
      </c>
    </row>
    <row r="575" spans="1:15" x14ac:dyDescent="0.25">
      <c r="A575" t="s">
        <v>603</v>
      </c>
      <c r="B575" t="s">
        <v>12</v>
      </c>
      <c r="C575">
        <v>132</v>
      </c>
      <c r="D575" t="s">
        <v>13</v>
      </c>
      <c r="E575">
        <v>42</v>
      </c>
      <c r="F575">
        <v>5</v>
      </c>
      <c r="G575" s="8">
        <v>45104</v>
      </c>
      <c r="H575">
        <v>2023</v>
      </c>
      <c r="I575">
        <v>2</v>
      </c>
      <c r="J575">
        <v>6</v>
      </c>
      <c r="K575" t="s">
        <v>1051</v>
      </c>
      <c r="L575" t="s">
        <v>1042</v>
      </c>
      <c r="M575">
        <v>2023</v>
      </c>
      <c r="N575" t="s">
        <v>1075</v>
      </c>
      <c r="O575">
        <v>5</v>
      </c>
    </row>
    <row r="576" spans="1:15" x14ac:dyDescent="0.25">
      <c r="A576" t="s">
        <v>604</v>
      </c>
      <c r="B576" t="s">
        <v>14</v>
      </c>
      <c r="C576">
        <v>63</v>
      </c>
      <c r="D576" t="s">
        <v>9</v>
      </c>
      <c r="E576">
        <v>70</v>
      </c>
      <c r="F576">
        <v>1.6</v>
      </c>
      <c r="G576" s="8">
        <v>45104</v>
      </c>
      <c r="H576">
        <v>2023</v>
      </c>
      <c r="I576">
        <v>2</v>
      </c>
      <c r="J576">
        <v>6</v>
      </c>
      <c r="K576" t="s">
        <v>1051</v>
      </c>
      <c r="L576" t="s">
        <v>1042</v>
      </c>
      <c r="M576">
        <v>2023</v>
      </c>
      <c r="N576" t="s">
        <v>1074</v>
      </c>
      <c r="O576">
        <v>2</v>
      </c>
    </row>
    <row r="577" spans="1:15" x14ac:dyDescent="0.25">
      <c r="A577" t="s">
        <v>605</v>
      </c>
      <c r="B577" t="s">
        <v>22</v>
      </c>
      <c r="C577">
        <v>135</v>
      </c>
      <c r="D577" t="s">
        <v>13</v>
      </c>
      <c r="E577">
        <v>60</v>
      </c>
      <c r="F577">
        <v>4.3</v>
      </c>
      <c r="G577" s="8">
        <v>45104</v>
      </c>
      <c r="H577">
        <v>2023</v>
      </c>
      <c r="I577">
        <v>2</v>
      </c>
      <c r="J577">
        <v>6</v>
      </c>
      <c r="K577" t="s">
        <v>1051</v>
      </c>
      <c r="L577" t="s">
        <v>1042</v>
      </c>
      <c r="M577">
        <v>2023</v>
      </c>
      <c r="N577" t="s">
        <v>1075</v>
      </c>
      <c r="O577">
        <v>4</v>
      </c>
    </row>
    <row r="578" spans="1:15" x14ac:dyDescent="0.25">
      <c r="A578" t="s">
        <v>606</v>
      </c>
      <c r="B578" t="s">
        <v>18</v>
      </c>
      <c r="C578">
        <v>101</v>
      </c>
      <c r="D578" t="s">
        <v>9</v>
      </c>
      <c r="E578">
        <v>84</v>
      </c>
      <c r="F578">
        <v>3.5</v>
      </c>
      <c r="G578" s="8">
        <v>45104</v>
      </c>
      <c r="H578">
        <v>2023</v>
      </c>
      <c r="I578">
        <v>2</v>
      </c>
      <c r="J578">
        <v>6</v>
      </c>
      <c r="K578" t="s">
        <v>1051</v>
      </c>
      <c r="L578" t="s">
        <v>1042</v>
      </c>
      <c r="M578">
        <v>2023</v>
      </c>
      <c r="N578" t="s">
        <v>1074</v>
      </c>
      <c r="O578">
        <v>4</v>
      </c>
    </row>
    <row r="579" spans="1:15" x14ac:dyDescent="0.25">
      <c r="A579" t="s">
        <v>607</v>
      </c>
      <c r="B579" t="s">
        <v>24</v>
      </c>
      <c r="C579">
        <v>80</v>
      </c>
      <c r="D579" t="s">
        <v>10</v>
      </c>
      <c r="E579">
        <v>68</v>
      </c>
      <c r="F579">
        <v>3.1</v>
      </c>
      <c r="G579" s="8">
        <v>45105</v>
      </c>
      <c r="H579">
        <v>2023</v>
      </c>
      <c r="I579">
        <v>2</v>
      </c>
      <c r="J579">
        <v>6</v>
      </c>
      <c r="K579" t="s">
        <v>1051</v>
      </c>
      <c r="L579" t="s">
        <v>1043</v>
      </c>
      <c r="M579">
        <v>2023</v>
      </c>
      <c r="N579" t="s">
        <v>1074</v>
      </c>
      <c r="O579">
        <v>3</v>
      </c>
    </row>
    <row r="580" spans="1:15" x14ac:dyDescent="0.25">
      <c r="A580" t="s">
        <v>608</v>
      </c>
      <c r="B580" t="s">
        <v>17</v>
      </c>
      <c r="C580">
        <v>28</v>
      </c>
      <c r="D580" t="s">
        <v>10</v>
      </c>
      <c r="E580">
        <v>44</v>
      </c>
      <c r="F580">
        <v>2.9</v>
      </c>
      <c r="G580" s="8">
        <v>45105</v>
      </c>
      <c r="H580">
        <v>2023</v>
      </c>
      <c r="I580">
        <v>2</v>
      </c>
      <c r="J580">
        <v>6</v>
      </c>
      <c r="K580" t="s">
        <v>1051</v>
      </c>
      <c r="L580" t="s">
        <v>1043</v>
      </c>
      <c r="M580">
        <v>2023</v>
      </c>
      <c r="N580" t="s">
        <v>1077</v>
      </c>
      <c r="O580">
        <v>3</v>
      </c>
    </row>
    <row r="581" spans="1:15" x14ac:dyDescent="0.25">
      <c r="A581" t="s">
        <v>609</v>
      </c>
      <c r="B581" t="s">
        <v>18</v>
      </c>
      <c r="C581">
        <v>102</v>
      </c>
      <c r="D581" t="s">
        <v>13</v>
      </c>
      <c r="E581">
        <v>99</v>
      </c>
      <c r="F581">
        <v>3.2</v>
      </c>
      <c r="G581" s="8">
        <v>45106</v>
      </c>
      <c r="H581">
        <v>2023</v>
      </c>
      <c r="I581">
        <v>2</v>
      </c>
      <c r="J581">
        <v>6</v>
      </c>
      <c r="K581" t="s">
        <v>1051</v>
      </c>
      <c r="L581" t="s">
        <v>1044</v>
      </c>
      <c r="M581">
        <v>2023</v>
      </c>
      <c r="N581" t="s">
        <v>1074</v>
      </c>
      <c r="O581">
        <v>3</v>
      </c>
    </row>
    <row r="582" spans="1:15" x14ac:dyDescent="0.25">
      <c r="A582" t="s">
        <v>610</v>
      </c>
      <c r="B582" t="s">
        <v>14</v>
      </c>
      <c r="C582">
        <v>60</v>
      </c>
      <c r="D582" t="s">
        <v>13</v>
      </c>
      <c r="E582">
        <v>66</v>
      </c>
      <c r="F582">
        <v>3.2</v>
      </c>
      <c r="G582" s="8">
        <v>45107</v>
      </c>
      <c r="H582">
        <v>2023</v>
      </c>
      <c r="I582">
        <v>2</v>
      </c>
      <c r="J582">
        <v>6</v>
      </c>
      <c r="K582" t="s">
        <v>1051</v>
      </c>
      <c r="L582" t="s">
        <v>1045</v>
      </c>
      <c r="M582">
        <v>2023</v>
      </c>
      <c r="N582" t="s">
        <v>1076</v>
      </c>
      <c r="O582">
        <v>3</v>
      </c>
    </row>
    <row r="583" spans="1:15" x14ac:dyDescent="0.25">
      <c r="A583" t="s">
        <v>611</v>
      </c>
      <c r="B583" t="s">
        <v>21</v>
      </c>
      <c r="C583">
        <v>103</v>
      </c>
      <c r="D583" t="s">
        <v>13</v>
      </c>
      <c r="E583">
        <v>102</v>
      </c>
      <c r="F583">
        <v>4.5</v>
      </c>
      <c r="G583" s="8">
        <v>45107</v>
      </c>
      <c r="H583">
        <v>2023</v>
      </c>
      <c r="I583">
        <v>2</v>
      </c>
      <c r="J583">
        <v>6</v>
      </c>
      <c r="K583" t="s">
        <v>1051</v>
      </c>
      <c r="L583" t="s">
        <v>1045</v>
      </c>
      <c r="M583">
        <v>2023</v>
      </c>
      <c r="N583" t="s">
        <v>1074</v>
      </c>
      <c r="O583">
        <v>4</v>
      </c>
    </row>
    <row r="584" spans="1:15" x14ac:dyDescent="0.25">
      <c r="A584" t="s">
        <v>612</v>
      </c>
      <c r="B584" t="s">
        <v>24</v>
      </c>
      <c r="C584">
        <v>90</v>
      </c>
      <c r="D584" t="s">
        <v>10</v>
      </c>
      <c r="E584">
        <v>129</v>
      </c>
      <c r="F584">
        <v>3.9</v>
      </c>
      <c r="G584" s="8">
        <v>45108</v>
      </c>
      <c r="H584">
        <v>2023</v>
      </c>
      <c r="I584">
        <v>3</v>
      </c>
      <c r="J584">
        <v>7</v>
      </c>
      <c r="K584" t="s">
        <v>1052</v>
      </c>
      <c r="L584" t="s">
        <v>1046</v>
      </c>
      <c r="M584">
        <v>2024</v>
      </c>
      <c r="N584" t="s">
        <v>1074</v>
      </c>
      <c r="O584">
        <v>4</v>
      </c>
    </row>
    <row r="585" spans="1:15" x14ac:dyDescent="0.25">
      <c r="A585" t="s">
        <v>613</v>
      </c>
      <c r="B585" t="s">
        <v>16</v>
      </c>
      <c r="C585">
        <v>88</v>
      </c>
      <c r="D585" t="s">
        <v>13</v>
      </c>
      <c r="E585">
        <v>80</v>
      </c>
      <c r="F585">
        <v>4.2</v>
      </c>
      <c r="G585" s="8">
        <v>45108</v>
      </c>
      <c r="H585">
        <v>2023</v>
      </c>
      <c r="I585">
        <v>3</v>
      </c>
      <c r="J585">
        <v>7</v>
      </c>
      <c r="K585" t="s">
        <v>1052</v>
      </c>
      <c r="L585" t="s">
        <v>1046</v>
      </c>
      <c r="M585">
        <v>2024</v>
      </c>
      <c r="N585" t="s">
        <v>1074</v>
      </c>
      <c r="O585">
        <v>4</v>
      </c>
    </row>
    <row r="586" spans="1:15" x14ac:dyDescent="0.25">
      <c r="A586" t="s">
        <v>614</v>
      </c>
      <c r="B586" t="s">
        <v>21</v>
      </c>
      <c r="C586">
        <v>37</v>
      </c>
      <c r="D586" t="s">
        <v>13</v>
      </c>
      <c r="E586">
        <v>54</v>
      </c>
      <c r="F586">
        <v>1.8</v>
      </c>
      <c r="G586" s="8">
        <v>45108</v>
      </c>
      <c r="H586">
        <v>2023</v>
      </c>
      <c r="I586">
        <v>3</v>
      </c>
      <c r="J586">
        <v>7</v>
      </c>
      <c r="K586" t="s">
        <v>1052</v>
      </c>
      <c r="L586" t="s">
        <v>1046</v>
      </c>
      <c r="M586">
        <v>2024</v>
      </c>
      <c r="N586" t="s">
        <v>1076</v>
      </c>
      <c r="O586">
        <v>2</v>
      </c>
    </row>
    <row r="587" spans="1:15" x14ac:dyDescent="0.25">
      <c r="A587" t="s">
        <v>615</v>
      </c>
      <c r="B587" t="s">
        <v>17</v>
      </c>
      <c r="C587">
        <v>142</v>
      </c>
      <c r="D587" t="s">
        <v>10</v>
      </c>
      <c r="E587">
        <v>116</v>
      </c>
      <c r="F587">
        <v>4.2</v>
      </c>
      <c r="G587" s="8">
        <v>45108</v>
      </c>
      <c r="H587">
        <v>2023</v>
      </c>
      <c r="I587">
        <v>3</v>
      </c>
      <c r="J587">
        <v>7</v>
      </c>
      <c r="K587" t="s">
        <v>1052</v>
      </c>
      <c r="L587" t="s">
        <v>1046</v>
      </c>
      <c r="M587">
        <v>2024</v>
      </c>
      <c r="N587" t="s">
        <v>1075</v>
      </c>
      <c r="O587">
        <v>4</v>
      </c>
    </row>
    <row r="588" spans="1:15" x14ac:dyDescent="0.25">
      <c r="A588" t="s">
        <v>616</v>
      </c>
      <c r="B588" t="s">
        <v>17</v>
      </c>
      <c r="C588">
        <v>153</v>
      </c>
      <c r="D588" t="s">
        <v>11</v>
      </c>
      <c r="E588">
        <v>102</v>
      </c>
      <c r="F588">
        <v>3.1</v>
      </c>
      <c r="G588" s="8">
        <v>45108</v>
      </c>
      <c r="H588">
        <v>2023</v>
      </c>
      <c r="I588">
        <v>3</v>
      </c>
      <c r="J588">
        <v>7</v>
      </c>
      <c r="K588" t="s">
        <v>1052</v>
      </c>
      <c r="L588" t="s">
        <v>1046</v>
      </c>
      <c r="M588">
        <v>2024</v>
      </c>
      <c r="N588" t="s">
        <v>1075</v>
      </c>
      <c r="O588">
        <v>3</v>
      </c>
    </row>
    <row r="589" spans="1:15" x14ac:dyDescent="0.25">
      <c r="A589" t="s">
        <v>617</v>
      </c>
      <c r="B589" t="s">
        <v>7</v>
      </c>
      <c r="C589">
        <v>128</v>
      </c>
      <c r="D589" t="s">
        <v>9</v>
      </c>
      <c r="E589">
        <v>140</v>
      </c>
      <c r="F589">
        <v>4.3</v>
      </c>
      <c r="G589" s="8">
        <v>45108</v>
      </c>
      <c r="H589">
        <v>2023</v>
      </c>
      <c r="I589">
        <v>3</v>
      </c>
      <c r="J589">
        <v>7</v>
      </c>
      <c r="K589" t="s">
        <v>1052</v>
      </c>
      <c r="L589" t="s">
        <v>1046</v>
      </c>
      <c r="M589">
        <v>2024</v>
      </c>
      <c r="N589" t="s">
        <v>1075</v>
      </c>
      <c r="O589">
        <v>4</v>
      </c>
    </row>
    <row r="590" spans="1:15" x14ac:dyDescent="0.25">
      <c r="A590" t="s">
        <v>618</v>
      </c>
      <c r="B590" t="s">
        <v>14</v>
      </c>
      <c r="C590">
        <v>110</v>
      </c>
      <c r="D590" t="s">
        <v>9</v>
      </c>
      <c r="E590">
        <v>104</v>
      </c>
      <c r="F590">
        <v>4.4000000000000004</v>
      </c>
      <c r="G590" s="8">
        <v>45109</v>
      </c>
      <c r="H590">
        <v>2023</v>
      </c>
      <c r="I590">
        <v>3</v>
      </c>
      <c r="J590">
        <v>7</v>
      </c>
      <c r="K590" t="s">
        <v>1052</v>
      </c>
      <c r="L590" t="s">
        <v>1040</v>
      </c>
      <c r="M590">
        <v>2024</v>
      </c>
      <c r="N590" t="s">
        <v>1074</v>
      </c>
      <c r="O590">
        <v>4</v>
      </c>
    </row>
    <row r="591" spans="1:15" x14ac:dyDescent="0.25">
      <c r="A591" t="s">
        <v>619</v>
      </c>
      <c r="B591" t="s">
        <v>7</v>
      </c>
      <c r="C591">
        <v>139</v>
      </c>
      <c r="D591" t="s">
        <v>13</v>
      </c>
      <c r="E591">
        <v>81</v>
      </c>
      <c r="F591">
        <v>4.4000000000000004</v>
      </c>
      <c r="G591" s="8">
        <v>45109</v>
      </c>
      <c r="H591">
        <v>2023</v>
      </c>
      <c r="I591">
        <v>3</v>
      </c>
      <c r="J591">
        <v>7</v>
      </c>
      <c r="K591" t="s">
        <v>1052</v>
      </c>
      <c r="L591" t="s">
        <v>1040</v>
      </c>
      <c r="M591">
        <v>2024</v>
      </c>
      <c r="N591" t="s">
        <v>1075</v>
      </c>
      <c r="O591">
        <v>4</v>
      </c>
    </row>
    <row r="592" spans="1:15" x14ac:dyDescent="0.25">
      <c r="A592" t="s">
        <v>620</v>
      </c>
      <c r="B592" t="s">
        <v>18</v>
      </c>
      <c r="C592">
        <v>109</v>
      </c>
      <c r="D592" t="s">
        <v>6</v>
      </c>
      <c r="E592">
        <v>140</v>
      </c>
      <c r="F592">
        <v>2.4</v>
      </c>
      <c r="G592" s="8">
        <v>45111</v>
      </c>
      <c r="H592">
        <v>2023</v>
      </c>
      <c r="I592">
        <v>3</v>
      </c>
      <c r="J592">
        <v>7</v>
      </c>
      <c r="K592" t="s">
        <v>1052</v>
      </c>
      <c r="L592" t="s">
        <v>1042</v>
      </c>
      <c r="M592">
        <v>2024</v>
      </c>
      <c r="N592" t="s">
        <v>1074</v>
      </c>
      <c r="O592">
        <v>2</v>
      </c>
    </row>
    <row r="593" spans="1:15" x14ac:dyDescent="0.25">
      <c r="A593" t="s">
        <v>621</v>
      </c>
      <c r="B593" t="s">
        <v>12</v>
      </c>
      <c r="C593">
        <v>57</v>
      </c>
      <c r="D593" t="s">
        <v>10</v>
      </c>
      <c r="E593">
        <v>120</v>
      </c>
      <c r="F593">
        <v>3.5</v>
      </c>
      <c r="G593" s="8">
        <v>45112</v>
      </c>
      <c r="H593">
        <v>2023</v>
      </c>
      <c r="I593">
        <v>3</v>
      </c>
      <c r="J593">
        <v>7</v>
      </c>
      <c r="K593" t="s">
        <v>1052</v>
      </c>
      <c r="L593" t="s">
        <v>1043</v>
      </c>
      <c r="M593">
        <v>2024</v>
      </c>
      <c r="N593" t="s">
        <v>1076</v>
      </c>
      <c r="O593">
        <v>4</v>
      </c>
    </row>
    <row r="594" spans="1:15" x14ac:dyDescent="0.25">
      <c r="A594" t="s">
        <v>622</v>
      </c>
      <c r="B594" t="s">
        <v>18</v>
      </c>
      <c r="C594">
        <v>68</v>
      </c>
      <c r="D594" t="s">
        <v>13</v>
      </c>
      <c r="E594">
        <v>41</v>
      </c>
      <c r="F594">
        <v>3.1</v>
      </c>
      <c r="G594" s="8">
        <v>45112</v>
      </c>
      <c r="H594">
        <v>2023</v>
      </c>
      <c r="I594">
        <v>3</v>
      </c>
      <c r="J594">
        <v>7</v>
      </c>
      <c r="K594" t="s">
        <v>1052</v>
      </c>
      <c r="L594" t="s">
        <v>1043</v>
      </c>
      <c r="M594">
        <v>2024</v>
      </c>
      <c r="N594" t="s">
        <v>1074</v>
      </c>
      <c r="O594">
        <v>3</v>
      </c>
    </row>
    <row r="595" spans="1:15" x14ac:dyDescent="0.25">
      <c r="A595" t="s">
        <v>623</v>
      </c>
      <c r="B595" t="s">
        <v>8</v>
      </c>
      <c r="C595">
        <v>128</v>
      </c>
      <c r="D595" t="s">
        <v>13</v>
      </c>
      <c r="E595">
        <v>116</v>
      </c>
      <c r="F595">
        <v>2.2999999999999998</v>
      </c>
      <c r="G595" s="8">
        <v>45112</v>
      </c>
      <c r="H595">
        <v>2023</v>
      </c>
      <c r="I595">
        <v>3</v>
      </c>
      <c r="J595">
        <v>7</v>
      </c>
      <c r="K595" t="s">
        <v>1052</v>
      </c>
      <c r="L595" t="s">
        <v>1043</v>
      </c>
      <c r="M595">
        <v>2024</v>
      </c>
      <c r="N595" t="s">
        <v>1075</v>
      </c>
      <c r="O595">
        <v>2</v>
      </c>
    </row>
    <row r="596" spans="1:15" x14ac:dyDescent="0.25">
      <c r="A596" t="s">
        <v>624</v>
      </c>
      <c r="B596" t="s">
        <v>20</v>
      </c>
      <c r="C596">
        <v>102</v>
      </c>
      <c r="D596" t="s">
        <v>10</v>
      </c>
      <c r="E596">
        <v>70</v>
      </c>
      <c r="F596">
        <v>2.8</v>
      </c>
      <c r="G596" s="8">
        <v>45113</v>
      </c>
      <c r="H596">
        <v>2023</v>
      </c>
      <c r="I596">
        <v>3</v>
      </c>
      <c r="J596">
        <v>7</v>
      </c>
      <c r="K596" t="s">
        <v>1052</v>
      </c>
      <c r="L596" t="s">
        <v>1044</v>
      </c>
      <c r="M596">
        <v>2024</v>
      </c>
      <c r="N596" t="s">
        <v>1074</v>
      </c>
      <c r="O596">
        <v>3</v>
      </c>
    </row>
    <row r="597" spans="1:15" x14ac:dyDescent="0.25">
      <c r="A597" t="s">
        <v>625</v>
      </c>
      <c r="B597" t="s">
        <v>7</v>
      </c>
      <c r="C597">
        <v>52</v>
      </c>
      <c r="D597" t="s">
        <v>11</v>
      </c>
      <c r="E597">
        <v>42</v>
      </c>
      <c r="F597">
        <v>4.5</v>
      </c>
      <c r="G597" s="8">
        <v>45113</v>
      </c>
      <c r="H597">
        <v>2023</v>
      </c>
      <c r="I597">
        <v>3</v>
      </c>
      <c r="J597">
        <v>7</v>
      </c>
      <c r="K597" t="s">
        <v>1052</v>
      </c>
      <c r="L597" t="s">
        <v>1044</v>
      </c>
      <c r="M597">
        <v>2024</v>
      </c>
      <c r="N597" t="s">
        <v>1076</v>
      </c>
      <c r="O597">
        <v>4</v>
      </c>
    </row>
    <row r="598" spans="1:15" x14ac:dyDescent="0.25">
      <c r="A598" t="s">
        <v>626</v>
      </c>
      <c r="B598" t="s">
        <v>8</v>
      </c>
      <c r="C598">
        <v>55</v>
      </c>
      <c r="D598" t="s">
        <v>9</v>
      </c>
      <c r="E598">
        <v>112</v>
      </c>
      <c r="F598">
        <v>4.5</v>
      </c>
      <c r="G598" s="8">
        <v>45114</v>
      </c>
      <c r="H598">
        <v>2023</v>
      </c>
      <c r="I598">
        <v>3</v>
      </c>
      <c r="J598">
        <v>7</v>
      </c>
      <c r="K598" t="s">
        <v>1052</v>
      </c>
      <c r="L598" t="s">
        <v>1045</v>
      </c>
      <c r="M598">
        <v>2024</v>
      </c>
      <c r="N598" t="s">
        <v>1076</v>
      </c>
      <c r="O598">
        <v>4</v>
      </c>
    </row>
    <row r="599" spans="1:15" x14ac:dyDescent="0.25">
      <c r="A599" t="s">
        <v>627</v>
      </c>
      <c r="B599" t="s">
        <v>21</v>
      </c>
      <c r="C599">
        <v>107</v>
      </c>
      <c r="D599" t="s">
        <v>13</v>
      </c>
      <c r="E599">
        <v>20</v>
      </c>
      <c r="F599">
        <v>4.5</v>
      </c>
      <c r="G599" s="8">
        <v>45114</v>
      </c>
      <c r="H599">
        <v>2023</v>
      </c>
      <c r="I599">
        <v>3</v>
      </c>
      <c r="J599">
        <v>7</v>
      </c>
      <c r="K599" t="s">
        <v>1052</v>
      </c>
      <c r="L599" t="s">
        <v>1045</v>
      </c>
      <c r="M599">
        <v>2024</v>
      </c>
      <c r="N599" t="s">
        <v>1074</v>
      </c>
      <c r="O599">
        <v>4</v>
      </c>
    </row>
    <row r="600" spans="1:15" x14ac:dyDescent="0.25">
      <c r="A600" t="s">
        <v>628</v>
      </c>
      <c r="B600" t="s">
        <v>24</v>
      </c>
      <c r="C600">
        <v>88</v>
      </c>
      <c r="D600" t="s">
        <v>11</v>
      </c>
      <c r="E600">
        <v>110</v>
      </c>
      <c r="F600">
        <v>4.8</v>
      </c>
      <c r="G600" s="8">
        <v>45115</v>
      </c>
      <c r="H600">
        <v>2023</v>
      </c>
      <c r="I600">
        <v>3</v>
      </c>
      <c r="J600">
        <v>7</v>
      </c>
      <c r="K600" t="s">
        <v>1052</v>
      </c>
      <c r="L600" t="s">
        <v>1046</v>
      </c>
      <c r="M600">
        <v>2024</v>
      </c>
      <c r="N600" t="s">
        <v>1074</v>
      </c>
      <c r="O600">
        <v>5</v>
      </c>
    </row>
    <row r="601" spans="1:15" x14ac:dyDescent="0.25">
      <c r="A601" t="s">
        <v>629</v>
      </c>
      <c r="B601" t="s">
        <v>15</v>
      </c>
      <c r="C601">
        <v>49</v>
      </c>
      <c r="D601" t="s">
        <v>11</v>
      </c>
      <c r="E601">
        <v>39</v>
      </c>
      <c r="F601">
        <v>4.5999999999999996</v>
      </c>
      <c r="G601" s="8">
        <v>45115</v>
      </c>
      <c r="H601">
        <v>2023</v>
      </c>
      <c r="I601">
        <v>3</v>
      </c>
      <c r="J601">
        <v>7</v>
      </c>
      <c r="K601" t="s">
        <v>1052</v>
      </c>
      <c r="L601" t="s">
        <v>1046</v>
      </c>
      <c r="M601">
        <v>2024</v>
      </c>
      <c r="N601" t="s">
        <v>1076</v>
      </c>
      <c r="O601">
        <v>5</v>
      </c>
    </row>
    <row r="602" spans="1:15" x14ac:dyDescent="0.25">
      <c r="A602" t="s">
        <v>630</v>
      </c>
      <c r="B602" t="s">
        <v>24</v>
      </c>
      <c r="C602">
        <v>72</v>
      </c>
      <c r="D602" t="s">
        <v>10</v>
      </c>
      <c r="E602">
        <v>76</v>
      </c>
      <c r="F602">
        <v>4.5</v>
      </c>
      <c r="G602" s="8">
        <v>45115</v>
      </c>
      <c r="H602">
        <v>2023</v>
      </c>
      <c r="I602">
        <v>3</v>
      </c>
      <c r="J602">
        <v>7</v>
      </c>
      <c r="K602" t="s">
        <v>1052</v>
      </c>
      <c r="L602" t="s">
        <v>1046</v>
      </c>
      <c r="M602">
        <v>2024</v>
      </c>
      <c r="N602" t="s">
        <v>1074</v>
      </c>
      <c r="O602">
        <v>4</v>
      </c>
    </row>
    <row r="603" spans="1:15" x14ac:dyDescent="0.25">
      <c r="A603" t="s">
        <v>631</v>
      </c>
      <c r="B603" t="s">
        <v>12</v>
      </c>
      <c r="C603">
        <v>50</v>
      </c>
      <c r="D603" t="s">
        <v>10</v>
      </c>
      <c r="E603">
        <v>40</v>
      </c>
      <c r="F603">
        <v>5</v>
      </c>
      <c r="G603" s="8">
        <v>45115</v>
      </c>
      <c r="H603">
        <v>2023</v>
      </c>
      <c r="I603">
        <v>3</v>
      </c>
      <c r="J603">
        <v>7</v>
      </c>
      <c r="K603" t="s">
        <v>1052</v>
      </c>
      <c r="L603" t="s">
        <v>1046</v>
      </c>
      <c r="M603">
        <v>2024</v>
      </c>
      <c r="N603" t="s">
        <v>1076</v>
      </c>
      <c r="O603">
        <v>5</v>
      </c>
    </row>
    <row r="604" spans="1:15" x14ac:dyDescent="0.25">
      <c r="A604" t="s">
        <v>632</v>
      </c>
      <c r="B604" t="s">
        <v>24</v>
      </c>
      <c r="C604">
        <v>52</v>
      </c>
      <c r="D604" t="s">
        <v>13</v>
      </c>
      <c r="E604">
        <v>42</v>
      </c>
      <c r="F604">
        <v>4.8</v>
      </c>
      <c r="G604" s="8">
        <v>45115</v>
      </c>
      <c r="H604">
        <v>2023</v>
      </c>
      <c r="I604">
        <v>3</v>
      </c>
      <c r="J604">
        <v>7</v>
      </c>
      <c r="K604" t="s">
        <v>1052</v>
      </c>
      <c r="L604" t="s">
        <v>1046</v>
      </c>
      <c r="M604">
        <v>2024</v>
      </c>
      <c r="N604" t="s">
        <v>1076</v>
      </c>
      <c r="O604">
        <v>5</v>
      </c>
    </row>
    <row r="605" spans="1:15" x14ac:dyDescent="0.25">
      <c r="A605" t="s">
        <v>633</v>
      </c>
      <c r="B605" t="s">
        <v>23</v>
      </c>
      <c r="C605">
        <v>85</v>
      </c>
      <c r="D605" t="s">
        <v>6</v>
      </c>
      <c r="E605">
        <v>215</v>
      </c>
      <c r="F605">
        <v>3.5</v>
      </c>
      <c r="G605" s="8">
        <v>45116</v>
      </c>
      <c r="H605">
        <v>2023</v>
      </c>
      <c r="I605">
        <v>3</v>
      </c>
      <c r="J605">
        <v>7</v>
      </c>
      <c r="K605" t="s">
        <v>1052</v>
      </c>
      <c r="L605" t="s">
        <v>1040</v>
      </c>
      <c r="M605">
        <v>2024</v>
      </c>
      <c r="N605" t="s">
        <v>1074</v>
      </c>
      <c r="O605">
        <v>4</v>
      </c>
    </row>
    <row r="606" spans="1:15" x14ac:dyDescent="0.25">
      <c r="A606" t="s">
        <v>634</v>
      </c>
      <c r="B606" t="s">
        <v>22</v>
      </c>
      <c r="C606">
        <v>98</v>
      </c>
      <c r="D606" t="s">
        <v>6</v>
      </c>
      <c r="E606">
        <v>130</v>
      </c>
      <c r="F606">
        <v>3.4</v>
      </c>
      <c r="G606" s="8">
        <v>45117</v>
      </c>
      <c r="H606">
        <v>2023</v>
      </c>
      <c r="I606">
        <v>3</v>
      </c>
      <c r="J606">
        <v>7</v>
      </c>
      <c r="K606" t="s">
        <v>1052</v>
      </c>
      <c r="L606" t="s">
        <v>1041</v>
      </c>
      <c r="M606">
        <v>2024</v>
      </c>
      <c r="N606" t="s">
        <v>1074</v>
      </c>
      <c r="O606">
        <v>3</v>
      </c>
    </row>
    <row r="607" spans="1:15" x14ac:dyDescent="0.25">
      <c r="A607" t="s">
        <v>635</v>
      </c>
      <c r="B607" t="s">
        <v>19</v>
      </c>
      <c r="C607">
        <v>52</v>
      </c>
      <c r="D607" t="s">
        <v>6</v>
      </c>
      <c r="E607">
        <v>190</v>
      </c>
      <c r="F607">
        <v>3.3</v>
      </c>
      <c r="G607" s="8">
        <v>45117</v>
      </c>
      <c r="H607">
        <v>2023</v>
      </c>
      <c r="I607">
        <v>3</v>
      </c>
      <c r="J607">
        <v>7</v>
      </c>
      <c r="K607" t="s">
        <v>1052</v>
      </c>
      <c r="L607" t="s">
        <v>1041</v>
      </c>
      <c r="M607">
        <v>2024</v>
      </c>
      <c r="N607" t="s">
        <v>1076</v>
      </c>
      <c r="O607">
        <v>3</v>
      </c>
    </row>
    <row r="608" spans="1:15" x14ac:dyDescent="0.25">
      <c r="A608" t="s">
        <v>636</v>
      </c>
      <c r="B608" t="s">
        <v>8</v>
      </c>
      <c r="C608">
        <v>154</v>
      </c>
      <c r="D608" t="s">
        <v>11</v>
      </c>
      <c r="E608">
        <v>164</v>
      </c>
      <c r="F608">
        <v>4.9000000000000004</v>
      </c>
      <c r="G608" s="8">
        <v>45117</v>
      </c>
      <c r="H608">
        <v>2023</v>
      </c>
      <c r="I608">
        <v>3</v>
      </c>
      <c r="J608">
        <v>7</v>
      </c>
      <c r="K608" t="s">
        <v>1052</v>
      </c>
      <c r="L608" t="s">
        <v>1041</v>
      </c>
      <c r="M608">
        <v>2024</v>
      </c>
      <c r="N608" t="s">
        <v>1075</v>
      </c>
      <c r="O608">
        <v>5</v>
      </c>
    </row>
    <row r="609" spans="1:15" x14ac:dyDescent="0.25">
      <c r="A609" t="s">
        <v>637</v>
      </c>
      <c r="B609" t="s">
        <v>5</v>
      </c>
      <c r="C609">
        <v>131</v>
      </c>
      <c r="D609" t="s">
        <v>9</v>
      </c>
      <c r="E609">
        <v>76</v>
      </c>
      <c r="F609">
        <v>4.5</v>
      </c>
      <c r="G609" s="8">
        <v>45118</v>
      </c>
      <c r="H609">
        <v>2023</v>
      </c>
      <c r="I609">
        <v>3</v>
      </c>
      <c r="J609">
        <v>7</v>
      </c>
      <c r="K609" t="s">
        <v>1052</v>
      </c>
      <c r="L609" t="s">
        <v>1042</v>
      </c>
      <c r="M609">
        <v>2024</v>
      </c>
      <c r="N609" t="s">
        <v>1075</v>
      </c>
      <c r="O609">
        <v>4</v>
      </c>
    </row>
    <row r="610" spans="1:15" x14ac:dyDescent="0.25">
      <c r="A610" t="s">
        <v>638</v>
      </c>
      <c r="B610" t="s">
        <v>23</v>
      </c>
      <c r="C610">
        <v>73</v>
      </c>
      <c r="D610" t="s">
        <v>9</v>
      </c>
      <c r="E610">
        <v>87</v>
      </c>
      <c r="F610">
        <v>4.8</v>
      </c>
      <c r="G610" s="8">
        <v>45119</v>
      </c>
      <c r="H610">
        <v>2023</v>
      </c>
      <c r="I610">
        <v>3</v>
      </c>
      <c r="J610">
        <v>7</v>
      </c>
      <c r="K610" t="s">
        <v>1052</v>
      </c>
      <c r="L610" t="s">
        <v>1043</v>
      </c>
      <c r="M610">
        <v>2024</v>
      </c>
      <c r="N610" t="s">
        <v>1074</v>
      </c>
      <c r="O610">
        <v>5</v>
      </c>
    </row>
    <row r="611" spans="1:15" x14ac:dyDescent="0.25">
      <c r="A611" t="s">
        <v>639</v>
      </c>
      <c r="B611" t="s">
        <v>14</v>
      </c>
      <c r="C611">
        <v>45</v>
      </c>
      <c r="D611" t="s">
        <v>6</v>
      </c>
      <c r="E611">
        <v>84</v>
      </c>
      <c r="F611">
        <v>4.8</v>
      </c>
      <c r="G611" s="8">
        <v>45119</v>
      </c>
      <c r="H611">
        <v>2023</v>
      </c>
      <c r="I611">
        <v>3</v>
      </c>
      <c r="J611">
        <v>7</v>
      </c>
      <c r="K611" t="s">
        <v>1052</v>
      </c>
      <c r="L611" t="s">
        <v>1043</v>
      </c>
      <c r="M611">
        <v>2024</v>
      </c>
      <c r="N611" t="s">
        <v>1076</v>
      </c>
      <c r="O611">
        <v>5</v>
      </c>
    </row>
    <row r="612" spans="1:15" x14ac:dyDescent="0.25">
      <c r="A612" t="s">
        <v>640</v>
      </c>
      <c r="B612" t="s">
        <v>7</v>
      </c>
      <c r="C612">
        <v>114</v>
      </c>
      <c r="D612" t="s">
        <v>13</v>
      </c>
      <c r="E612">
        <v>114</v>
      </c>
      <c r="F612">
        <v>3.9</v>
      </c>
      <c r="G612" s="8">
        <v>45119</v>
      </c>
      <c r="H612">
        <v>2023</v>
      </c>
      <c r="I612">
        <v>3</v>
      </c>
      <c r="J612">
        <v>7</v>
      </c>
      <c r="K612" t="s">
        <v>1052</v>
      </c>
      <c r="L612" t="s">
        <v>1043</v>
      </c>
      <c r="M612">
        <v>2024</v>
      </c>
      <c r="N612" t="s">
        <v>1074</v>
      </c>
      <c r="O612">
        <v>4</v>
      </c>
    </row>
    <row r="613" spans="1:15" x14ac:dyDescent="0.25">
      <c r="A613" t="s">
        <v>641</v>
      </c>
      <c r="B613" t="s">
        <v>22</v>
      </c>
      <c r="C613">
        <v>69</v>
      </c>
      <c r="D613" t="s">
        <v>9</v>
      </c>
      <c r="E613">
        <v>56</v>
      </c>
      <c r="F613">
        <v>3.9</v>
      </c>
      <c r="G613" s="8">
        <v>45120</v>
      </c>
      <c r="H613">
        <v>2023</v>
      </c>
      <c r="I613">
        <v>3</v>
      </c>
      <c r="J613">
        <v>7</v>
      </c>
      <c r="K613" t="s">
        <v>1052</v>
      </c>
      <c r="L613" t="s">
        <v>1044</v>
      </c>
      <c r="M613">
        <v>2024</v>
      </c>
      <c r="N613" t="s">
        <v>1074</v>
      </c>
      <c r="O613">
        <v>4</v>
      </c>
    </row>
    <row r="614" spans="1:15" x14ac:dyDescent="0.25">
      <c r="A614" t="s">
        <v>642</v>
      </c>
      <c r="B614" t="s">
        <v>5</v>
      </c>
      <c r="C614">
        <v>33</v>
      </c>
      <c r="D614" t="s">
        <v>11</v>
      </c>
      <c r="E614">
        <v>27</v>
      </c>
      <c r="F614">
        <v>3.7</v>
      </c>
      <c r="G614" s="8">
        <v>45120</v>
      </c>
      <c r="H614">
        <v>2023</v>
      </c>
      <c r="I614">
        <v>3</v>
      </c>
      <c r="J614">
        <v>7</v>
      </c>
      <c r="K614" t="s">
        <v>1052</v>
      </c>
      <c r="L614" t="s">
        <v>1044</v>
      </c>
      <c r="M614">
        <v>2024</v>
      </c>
      <c r="N614" t="s">
        <v>1076</v>
      </c>
      <c r="O614">
        <v>4</v>
      </c>
    </row>
    <row r="615" spans="1:15" x14ac:dyDescent="0.25">
      <c r="A615" t="s">
        <v>643</v>
      </c>
      <c r="B615" t="s">
        <v>12</v>
      </c>
      <c r="C615">
        <v>31</v>
      </c>
      <c r="D615" t="s">
        <v>10</v>
      </c>
      <c r="E615">
        <v>84</v>
      </c>
      <c r="F615">
        <v>4.8</v>
      </c>
      <c r="G615" s="8">
        <v>45121</v>
      </c>
      <c r="H615">
        <v>2023</v>
      </c>
      <c r="I615">
        <v>3</v>
      </c>
      <c r="J615">
        <v>7</v>
      </c>
      <c r="K615" t="s">
        <v>1052</v>
      </c>
      <c r="L615" t="s">
        <v>1045</v>
      </c>
      <c r="M615">
        <v>2024</v>
      </c>
      <c r="N615" t="s">
        <v>1076</v>
      </c>
      <c r="O615">
        <v>5</v>
      </c>
    </row>
    <row r="616" spans="1:15" x14ac:dyDescent="0.25">
      <c r="A616" t="s">
        <v>644</v>
      </c>
      <c r="B616" t="s">
        <v>14</v>
      </c>
      <c r="C616">
        <v>168</v>
      </c>
      <c r="D616" t="s">
        <v>11</v>
      </c>
      <c r="E616">
        <v>72</v>
      </c>
      <c r="F616">
        <v>3.5</v>
      </c>
      <c r="G616" s="8">
        <v>45121</v>
      </c>
      <c r="H616">
        <v>2023</v>
      </c>
      <c r="I616">
        <v>3</v>
      </c>
      <c r="J616">
        <v>7</v>
      </c>
      <c r="K616" t="s">
        <v>1052</v>
      </c>
      <c r="L616" t="s">
        <v>1045</v>
      </c>
      <c r="M616">
        <v>2024</v>
      </c>
      <c r="N616" t="s">
        <v>1075</v>
      </c>
      <c r="O616">
        <v>4</v>
      </c>
    </row>
    <row r="617" spans="1:15" x14ac:dyDescent="0.25">
      <c r="A617" t="s">
        <v>645</v>
      </c>
      <c r="B617" t="s">
        <v>23</v>
      </c>
      <c r="C617">
        <v>111</v>
      </c>
      <c r="D617" t="s">
        <v>13</v>
      </c>
      <c r="E617">
        <v>126</v>
      </c>
      <c r="F617">
        <v>4.2</v>
      </c>
      <c r="G617" s="8">
        <v>45122</v>
      </c>
      <c r="H617">
        <v>2023</v>
      </c>
      <c r="I617">
        <v>3</v>
      </c>
      <c r="J617">
        <v>7</v>
      </c>
      <c r="K617" t="s">
        <v>1052</v>
      </c>
      <c r="L617" t="s">
        <v>1046</v>
      </c>
      <c r="M617">
        <v>2024</v>
      </c>
      <c r="N617" t="s">
        <v>1074</v>
      </c>
      <c r="O617">
        <v>4</v>
      </c>
    </row>
    <row r="618" spans="1:15" x14ac:dyDescent="0.25">
      <c r="A618" t="s">
        <v>646</v>
      </c>
      <c r="B618" t="s">
        <v>12</v>
      </c>
      <c r="C618">
        <v>80</v>
      </c>
      <c r="D618" t="s">
        <v>11</v>
      </c>
      <c r="E618">
        <v>88</v>
      </c>
      <c r="F618">
        <v>4.9000000000000004</v>
      </c>
      <c r="G618" s="8">
        <v>45123</v>
      </c>
      <c r="H618">
        <v>2023</v>
      </c>
      <c r="I618">
        <v>3</v>
      </c>
      <c r="J618">
        <v>7</v>
      </c>
      <c r="K618" t="s">
        <v>1052</v>
      </c>
      <c r="L618" t="s">
        <v>1040</v>
      </c>
      <c r="M618">
        <v>2024</v>
      </c>
      <c r="N618" t="s">
        <v>1074</v>
      </c>
      <c r="O618">
        <v>5</v>
      </c>
    </row>
    <row r="619" spans="1:15" x14ac:dyDescent="0.25">
      <c r="A619" t="s">
        <v>647</v>
      </c>
      <c r="B619" t="s">
        <v>20</v>
      </c>
      <c r="C619">
        <v>37</v>
      </c>
      <c r="D619" t="s">
        <v>11</v>
      </c>
      <c r="E619">
        <v>124</v>
      </c>
      <c r="F619">
        <v>4.5999999999999996</v>
      </c>
      <c r="G619" s="8">
        <v>45123</v>
      </c>
      <c r="H619">
        <v>2023</v>
      </c>
      <c r="I619">
        <v>3</v>
      </c>
      <c r="J619">
        <v>7</v>
      </c>
      <c r="K619" t="s">
        <v>1052</v>
      </c>
      <c r="L619" t="s">
        <v>1040</v>
      </c>
      <c r="M619">
        <v>2024</v>
      </c>
      <c r="N619" t="s">
        <v>1076</v>
      </c>
      <c r="O619">
        <v>5</v>
      </c>
    </row>
    <row r="620" spans="1:15" x14ac:dyDescent="0.25">
      <c r="A620" t="s">
        <v>648</v>
      </c>
      <c r="B620" t="s">
        <v>17</v>
      </c>
      <c r="C620">
        <v>137</v>
      </c>
      <c r="D620" t="s">
        <v>11</v>
      </c>
      <c r="E620">
        <v>84</v>
      </c>
      <c r="F620">
        <v>2.6</v>
      </c>
      <c r="G620" s="8">
        <v>45124</v>
      </c>
      <c r="H620">
        <v>2023</v>
      </c>
      <c r="I620">
        <v>3</v>
      </c>
      <c r="J620">
        <v>7</v>
      </c>
      <c r="K620" t="s">
        <v>1052</v>
      </c>
      <c r="L620" t="s">
        <v>1041</v>
      </c>
      <c r="M620">
        <v>2024</v>
      </c>
      <c r="N620" t="s">
        <v>1075</v>
      </c>
      <c r="O620">
        <v>3</v>
      </c>
    </row>
    <row r="621" spans="1:15" x14ac:dyDescent="0.25">
      <c r="A621" t="s">
        <v>649</v>
      </c>
      <c r="B621" t="s">
        <v>22</v>
      </c>
      <c r="C621">
        <v>123</v>
      </c>
      <c r="D621" t="s">
        <v>13</v>
      </c>
      <c r="E621">
        <v>80</v>
      </c>
      <c r="F621">
        <v>2.7</v>
      </c>
      <c r="G621" s="8">
        <v>45124</v>
      </c>
      <c r="H621">
        <v>2023</v>
      </c>
      <c r="I621">
        <v>3</v>
      </c>
      <c r="J621">
        <v>7</v>
      </c>
      <c r="K621" t="s">
        <v>1052</v>
      </c>
      <c r="L621" t="s">
        <v>1041</v>
      </c>
      <c r="M621">
        <v>2024</v>
      </c>
      <c r="N621" t="s">
        <v>1075</v>
      </c>
      <c r="O621">
        <v>3</v>
      </c>
    </row>
    <row r="622" spans="1:15" x14ac:dyDescent="0.25">
      <c r="A622" t="s">
        <v>650</v>
      </c>
      <c r="B622" t="s">
        <v>16</v>
      </c>
      <c r="C622">
        <v>105</v>
      </c>
      <c r="D622" t="s">
        <v>13</v>
      </c>
      <c r="E622">
        <v>176</v>
      </c>
      <c r="F622">
        <v>4.7</v>
      </c>
      <c r="G622" s="8">
        <v>45125</v>
      </c>
      <c r="H622">
        <v>2023</v>
      </c>
      <c r="I622">
        <v>3</v>
      </c>
      <c r="J622">
        <v>7</v>
      </c>
      <c r="K622" t="s">
        <v>1052</v>
      </c>
      <c r="L622" t="s">
        <v>1042</v>
      </c>
      <c r="M622">
        <v>2024</v>
      </c>
      <c r="N622" t="s">
        <v>1074</v>
      </c>
      <c r="O622">
        <v>5</v>
      </c>
    </row>
    <row r="623" spans="1:15" x14ac:dyDescent="0.25">
      <c r="A623" t="s">
        <v>651</v>
      </c>
      <c r="B623" t="s">
        <v>20</v>
      </c>
      <c r="C623">
        <v>76</v>
      </c>
      <c r="D623" t="s">
        <v>6</v>
      </c>
      <c r="E623">
        <v>84</v>
      </c>
      <c r="F623">
        <v>3.9</v>
      </c>
      <c r="G623" s="8">
        <v>45126</v>
      </c>
      <c r="H623">
        <v>2023</v>
      </c>
      <c r="I623">
        <v>3</v>
      </c>
      <c r="J623">
        <v>7</v>
      </c>
      <c r="K623" t="s">
        <v>1052</v>
      </c>
      <c r="L623" t="s">
        <v>1043</v>
      </c>
      <c r="M623">
        <v>2024</v>
      </c>
      <c r="N623" t="s">
        <v>1074</v>
      </c>
      <c r="O623">
        <v>4</v>
      </c>
    </row>
    <row r="624" spans="1:15" x14ac:dyDescent="0.25">
      <c r="A624" t="s">
        <v>652</v>
      </c>
      <c r="B624" t="s">
        <v>12</v>
      </c>
      <c r="C624">
        <v>144</v>
      </c>
      <c r="D624" t="s">
        <v>6</v>
      </c>
      <c r="E624">
        <v>164</v>
      </c>
      <c r="F624">
        <v>2.8</v>
      </c>
      <c r="G624" s="8">
        <v>45126</v>
      </c>
      <c r="H624">
        <v>2023</v>
      </c>
      <c r="I624">
        <v>3</v>
      </c>
      <c r="J624">
        <v>7</v>
      </c>
      <c r="K624" t="s">
        <v>1052</v>
      </c>
      <c r="L624" t="s">
        <v>1043</v>
      </c>
      <c r="M624">
        <v>2024</v>
      </c>
      <c r="N624" t="s">
        <v>1075</v>
      </c>
      <c r="O624">
        <v>3</v>
      </c>
    </row>
    <row r="625" spans="1:15" x14ac:dyDescent="0.25">
      <c r="A625" t="s">
        <v>653</v>
      </c>
      <c r="B625" t="s">
        <v>5</v>
      </c>
      <c r="C625">
        <v>109</v>
      </c>
      <c r="D625" t="s">
        <v>10</v>
      </c>
      <c r="E625">
        <v>132</v>
      </c>
      <c r="F625">
        <v>3.1</v>
      </c>
      <c r="G625" s="8">
        <v>45126</v>
      </c>
      <c r="H625">
        <v>2023</v>
      </c>
      <c r="I625">
        <v>3</v>
      </c>
      <c r="J625">
        <v>7</v>
      </c>
      <c r="K625" t="s">
        <v>1052</v>
      </c>
      <c r="L625" t="s">
        <v>1043</v>
      </c>
      <c r="M625">
        <v>2024</v>
      </c>
      <c r="N625" t="s">
        <v>1074</v>
      </c>
      <c r="O625">
        <v>3</v>
      </c>
    </row>
    <row r="626" spans="1:15" x14ac:dyDescent="0.25">
      <c r="A626" t="s">
        <v>654</v>
      </c>
      <c r="B626" t="s">
        <v>22</v>
      </c>
      <c r="C626">
        <v>172</v>
      </c>
      <c r="D626" t="s">
        <v>11</v>
      </c>
      <c r="E626">
        <v>27</v>
      </c>
      <c r="F626">
        <v>4.2</v>
      </c>
      <c r="G626" s="8">
        <v>45127</v>
      </c>
      <c r="H626">
        <v>2023</v>
      </c>
      <c r="I626">
        <v>3</v>
      </c>
      <c r="J626">
        <v>7</v>
      </c>
      <c r="K626" t="s">
        <v>1052</v>
      </c>
      <c r="L626" t="s">
        <v>1044</v>
      </c>
      <c r="M626">
        <v>2024</v>
      </c>
      <c r="N626" t="s">
        <v>1075</v>
      </c>
      <c r="O626">
        <v>4</v>
      </c>
    </row>
    <row r="627" spans="1:15" x14ac:dyDescent="0.25">
      <c r="A627" t="s">
        <v>655</v>
      </c>
      <c r="B627" t="s">
        <v>12</v>
      </c>
      <c r="C627">
        <v>56</v>
      </c>
      <c r="D627" t="s">
        <v>13</v>
      </c>
      <c r="E627">
        <v>27</v>
      </c>
      <c r="F627">
        <v>4.3</v>
      </c>
      <c r="G627" s="8">
        <v>45127</v>
      </c>
      <c r="H627">
        <v>2023</v>
      </c>
      <c r="I627">
        <v>3</v>
      </c>
      <c r="J627">
        <v>7</v>
      </c>
      <c r="K627" t="s">
        <v>1052</v>
      </c>
      <c r="L627" t="s">
        <v>1044</v>
      </c>
      <c r="M627">
        <v>2024</v>
      </c>
      <c r="N627" t="s">
        <v>1076</v>
      </c>
      <c r="O627">
        <v>4</v>
      </c>
    </row>
    <row r="628" spans="1:15" x14ac:dyDescent="0.25">
      <c r="A628" t="s">
        <v>656</v>
      </c>
      <c r="B628" t="s">
        <v>12</v>
      </c>
      <c r="C628">
        <v>121</v>
      </c>
      <c r="D628" t="s">
        <v>9</v>
      </c>
      <c r="E628">
        <v>20</v>
      </c>
      <c r="F628">
        <v>2.7</v>
      </c>
      <c r="G628" s="8">
        <v>45127</v>
      </c>
      <c r="H628">
        <v>2023</v>
      </c>
      <c r="I628">
        <v>3</v>
      </c>
      <c r="J628">
        <v>7</v>
      </c>
      <c r="K628" t="s">
        <v>1052</v>
      </c>
      <c r="L628" t="s">
        <v>1044</v>
      </c>
      <c r="M628">
        <v>2024</v>
      </c>
      <c r="N628" t="s">
        <v>1075</v>
      </c>
      <c r="O628">
        <v>3</v>
      </c>
    </row>
    <row r="629" spans="1:15" x14ac:dyDescent="0.25">
      <c r="A629" t="s">
        <v>657</v>
      </c>
      <c r="B629" t="s">
        <v>22</v>
      </c>
      <c r="C629">
        <v>41</v>
      </c>
      <c r="D629" t="s">
        <v>13</v>
      </c>
      <c r="E629">
        <v>112</v>
      </c>
      <c r="F629">
        <v>2.2999999999999998</v>
      </c>
      <c r="G629" s="8">
        <v>45128</v>
      </c>
      <c r="H629">
        <v>2023</v>
      </c>
      <c r="I629">
        <v>3</v>
      </c>
      <c r="J629">
        <v>7</v>
      </c>
      <c r="K629" t="s">
        <v>1052</v>
      </c>
      <c r="L629" t="s">
        <v>1045</v>
      </c>
      <c r="M629">
        <v>2024</v>
      </c>
      <c r="N629" t="s">
        <v>1076</v>
      </c>
      <c r="O629">
        <v>2</v>
      </c>
    </row>
    <row r="630" spans="1:15" x14ac:dyDescent="0.25">
      <c r="A630" t="s">
        <v>658</v>
      </c>
      <c r="B630" t="s">
        <v>21</v>
      </c>
      <c r="C630">
        <v>60</v>
      </c>
      <c r="D630" t="s">
        <v>11</v>
      </c>
      <c r="E630">
        <v>60</v>
      </c>
      <c r="F630">
        <v>2.2999999999999998</v>
      </c>
      <c r="G630" s="8">
        <v>45128</v>
      </c>
      <c r="H630">
        <v>2023</v>
      </c>
      <c r="I630">
        <v>3</v>
      </c>
      <c r="J630">
        <v>7</v>
      </c>
      <c r="K630" t="s">
        <v>1052</v>
      </c>
      <c r="L630" t="s">
        <v>1045</v>
      </c>
      <c r="M630">
        <v>2024</v>
      </c>
      <c r="N630" t="s">
        <v>1076</v>
      </c>
      <c r="O630">
        <v>2</v>
      </c>
    </row>
    <row r="631" spans="1:15" x14ac:dyDescent="0.25">
      <c r="A631" t="s">
        <v>659</v>
      </c>
      <c r="B631" t="s">
        <v>21</v>
      </c>
      <c r="C631">
        <v>144</v>
      </c>
      <c r="D631" t="s">
        <v>11</v>
      </c>
      <c r="E631">
        <v>102</v>
      </c>
      <c r="F631">
        <v>2.9</v>
      </c>
      <c r="G631" s="8">
        <v>45129</v>
      </c>
      <c r="H631">
        <v>2023</v>
      </c>
      <c r="I631">
        <v>3</v>
      </c>
      <c r="J631">
        <v>7</v>
      </c>
      <c r="K631" t="s">
        <v>1052</v>
      </c>
      <c r="L631" t="s">
        <v>1046</v>
      </c>
      <c r="M631">
        <v>2024</v>
      </c>
      <c r="N631" t="s">
        <v>1075</v>
      </c>
      <c r="O631">
        <v>3</v>
      </c>
    </row>
    <row r="632" spans="1:15" x14ac:dyDescent="0.25">
      <c r="A632" t="s">
        <v>660</v>
      </c>
      <c r="B632" t="s">
        <v>8</v>
      </c>
      <c r="C632">
        <v>67</v>
      </c>
      <c r="D632" t="s">
        <v>11</v>
      </c>
      <c r="E632">
        <v>38</v>
      </c>
      <c r="F632">
        <v>4.2</v>
      </c>
      <c r="G632" s="8">
        <v>45129</v>
      </c>
      <c r="H632">
        <v>2023</v>
      </c>
      <c r="I632">
        <v>3</v>
      </c>
      <c r="J632">
        <v>7</v>
      </c>
      <c r="K632" t="s">
        <v>1052</v>
      </c>
      <c r="L632" t="s">
        <v>1046</v>
      </c>
      <c r="M632">
        <v>2024</v>
      </c>
      <c r="N632" t="s">
        <v>1074</v>
      </c>
      <c r="O632">
        <v>4</v>
      </c>
    </row>
    <row r="633" spans="1:15" x14ac:dyDescent="0.25">
      <c r="A633" t="s">
        <v>661</v>
      </c>
      <c r="B633" t="s">
        <v>22</v>
      </c>
      <c r="C633">
        <v>162</v>
      </c>
      <c r="D633" t="s">
        <v>10</v>
      </c>
      <c r="E633">
        <v>82</v>
      </c>
      <c r="F633">
        <v>4.5999999999999996</v>
      </c>
      <c r="G633" s="8">
        <v>45129</v>
      </c>
      <c r="H633">
        <v>2023</v>
      </c>
      <c r="I633">
        <v>3</v>
      </c>
      <c r="J633">
        <v>7</v>
      </c>
      <c r="K633" t="s">
        <v>1052</v>
      </c>
      <c r="L633" t="s">
        <v>1046</v>
      </c>
      <c r="M633">
        <v>2024</v>
      </c>
      <c r="N633" t="s">
        <v>1075</v>
      </c>
      <c r="O633">
        <v>5</v>
      </c>
    </row>
    <row r="634" spans="1:15" x14ac:dyDescent="0.25">
      <c r="A634" t="s">
        <v>662</v>
      </c>
      <c r="B634" t="s">
        <v>21</v>
      </c>
      <c r="C634">
        <v>87</v>
      </c>
      <c r="D634" t="s">
        <v>9</v>
      </c>
      <c r="E634">
        <v>125</v>
      </c>
      <c r="F634">
        <v>4.5</v>
      </c>
      <c r="G634" s="8">
        <v>45132</v>
      </c>
      <c r="H634">
        <v>2023</v>
      </c>
      <c r="I634">
        <v>3</v>
      </c>
      <c r="J634">
        <v>7</v>
      </c>
      <c r="K634" t="s">
        <v>1052</v>
      </c>
      <c r="L634" t="s">
        <v>1042</v>
      </c>
      <c r="M634">
        <v>2024</v>
      </c>
      <c r="N634" t="s">
        <v>1074</v>
      </c>
      <c r="O634">
        <v>4</v>
      </c>
    </row>
    <row r="635" spans="1:15" x14ac:dyDescent="0.25">
      <c r="A635" t="s">
        <v>663</v>
      </c>
      <c r="B635" t="s">
        <v>19</v>
      </c>
      <c r="C635">
        <v>10</v>
      </c>
      <c r="D635" t="s">
        <v>6</v>
      </c>
      <c r="E635">
        <v>72</v>
      </c>
      <c r="F635">
        <v>3.7</v>
      </c>
      <c r="G635" s="8">
        <v>45133</v>
      </c>
      <c r="H635">
        <v>2023</v>
      </c>
      <c r="I635">
        <v>3</v>
      </c>
      <c r="J635">
        <v>7</v>
      </c>
      <c r="K635" t="s">
        <v>1052</v>
      </c>
      <c r="L635" t="s">
        <v>1043</v>
      </c>
      <c r="M635">
        <v>2024</v>
      </c>
      <c r="N635" t="s">
        <v>1078</v>
      </c>
      <c r="O635">
        <v>4</v>
      </c>
    </row>
    <row r="636" spans="1:15" x14ac:dyDescent="0.25">
      <c r="A636" t="s">
        <v>664</v>
      </c>
      <c r="B636" t="s">
        <v>12</v>
      </c>
      <c r="C636">
        <v>138</v>
      </c>
      <c r="D636" t="s">
        <v>6</v>
      </c>
      <c r="E636">
        <v>195</v>
      </c>
      <c r="F636">
        <v>4.0999999999999996</v>
      </c>
      <c r="G636" s="8">
        <v>45133</v>
      </c>
      <c r="H636">
        <v>2023</v>
      </c>
      <c r="I636">
        <v>3</v>
      </c>
      <c r="J636">
        <v>7</v>
      </c>
      <c r="K636" t="s">
        <v>1052</v>
      </c>
      <c r="L636" t="s">
        <v>1043</v>
      </c>
      <c r="M636">
        <v>2024</v>
      </c>
      <c r="N636" t="s">
        <v>1075</v>
      </c>
      <c r="O636">
        <v>4</v>
      </c>
    </row>
    <row r="637" spans="1:15" x14ac:dyDescent="0.25">
      <c r="A637" t="s">
        <v>665</v>
      </c>
      <c r="B637" t="s">
        <v>22</v>
      </c>
      <c r="C637">
        <v>31</v>
      </c>
      <c r="D637" t="s">
        <v>6</v>
      </c>
      <c r="E637">
        <v>160</v>
      </c>
      <c r="F637">
        <v>3.4</v>
      </c>
      <c r="G637" s="8">
        <v>45134</v>
      </c>
      <c r="H637">
        <v>2023</v>
      </c>
      <c r="I637">
        <v>3</v>
      </c>
      <c r="J637">
        <v>7</v>
      </c>
      <c r="K637" t="s">
        <v>1052</v>
      </c>
      <c r="L637" t="s">
        <v>1044</v>
      </c>
      <c r="M637">
        <v>2024</v>
      </c>
      <c r="N637" t="s">
        <v>1076</v>
      </c>
      <c r="O637">
        <v>3</v>
      </c>
    </row>
    <row r="638" spans="1:15" x14ac:dyDescent="0.25">
      <c r="A638" t="s">
        <v>666</v>
      </c>
      <c r="B638" t="s">
        <v>16</v>
      </c>
      <c r="C638">
        <v>75</v>
      </c>
      <c r="D638" t="s">
        <v>10</v>
      </c>
      <c r="E638">
        <v>78</v>
      </c>
      <c r="F638">
        <v>3.3</v>
      </c>
      <c r="G638" s="8">
        <v>45134</v>
      </c>
      <c r="H638">
        <v>2023</v>
      </c>
      <c r="I638">
        <v>3</v>
      </c>
      <c r="J638">
        <v>7</v>
      </c>
      <c r="K638" t="s">
        <v>1052</v>
      </c>
      <c r="L638" t="s">
        <v>1044</v>
      </c>
      <c r="M638">
        <v>2024</v>
      </c>
      <c r="N638" t="s">
        <v>1074</v>
      </c>
      <c r="O638">
        <v>3</v>
      </c>
    </row>
    <row r="639" spans="1:15" x14ac:dyDescent="0.25">
      <c r="A639" t="s">
        <v>667</v>
      </c>
      <c r="B639" t="s">
        <v>20</v>
      </c>
      <c r="C639">
        <v>65</v>
      </c>
      <c r="D639" t="s">
        <v>10</v>
      </c>
      <c r="E639">
        <v>70</v>
      </c>
      <c r="F639">
        <v>4.4000000000000004</v>
      </c>
      <c r="G639" s="8">
        <v>45135</v>
      </c>
      <c r="H639">
        <v>2023</v>
      </c>
      <c r="I639">
        <v>3</v>
      </c>
      <c r="J639">
        <v>7</v>
      </c>
      <c r="K639" t="s">
        <v>1052</v>
      </c>
      <c r="L639" t="s">
        <v>1045</v>
      </c>
      <c r="M639">
        <v>2024</v>
      </c>
      <c r="N639" t="s">
        <v>1074</v>
      </c>
      <c r="O639">
        <v>4</v>
      </c>
    </row>
    <row r="640" spans="1:15" x14ac:dyDescent="0.25">
      <c r="A640" t="s">
        <v>668</v>
      </c>
      <c r="B640" t="s">
        <v>23</v>
      </c>
      <c r="C640">
        <v>106</v>
      </c>
      <c r="D640" t="s">
        <v>13</v>
      </c>
      <c r="E640">
        <v>105</v>
      </c>
      <c r="F640">
        <v>4.2</v>
      </c>
      <c r="G640" s="8">
        <v>45135</v>
      </c>
      <c r="H640">
        <v>2023</v>
      </c>
      <c r="I640">
        <v>3</v>
      </c>
      <c r="J640">
        <v>7</v>
      </c>
      <c r="K640" t="s">
        <v>1052</v>
      </c>
      <c r="L640" t="s">
        <v>1045</v>
      </c>
      <c r="M640">
        <v>2024</v>
      </c>
      <c r="N640" t="s">
        <v>1074</v>
      </c>
      <c r="O640">
        <v>4</v>
      </c>
    </row>
    <row r="641" spans="1:15" x14ac:dyDescent="0.25">
      <c r="A641" t="s">
        <v>669</v>
      </c>
      <c r="B641" t="s">
        <v>20</v>
      </c>
      <c r="C641">
        <v>107</v>
      </c>
      <c r="D641" t="s">
        <v>13</v>
      </c>
      <c r="E641">
        <v>78</v>
      </c>
      <c r="F641">
        <v>3.4</v>
      </c>
      <c r="G641" s="8">
        <v>45136</v>
      </c>
      <c r="H641">
        <v>2023</v>
      </c>
      <c r="I641">
        <v>3</v>
      </c>
      <c r="J641">
        <v>7</v>
      </c>
      <c r="K641" t="s">
        <v>1052</v>
      </c>
      <c r="L641" t="s">
        <v>1046</v>
      </c>
      <c r="M641">
        <v>2024</v>
      </c>
      <c r="N641" t="s">
        <v>1074</v>
      </c>
      <c r="O641">
        <v>3</v>
      </c>
    </row>
    <row r="642" spans="1:15" x14ac:dyDescent="0.25">
      <c r="A642" t="s">
        <v>670</v>
      </c>
      <c r="B642" t="s">
        <v>17</v>
      </c>
      <c r="C642">
        <v>78</v>
      </c>
      <c r="D642" t="s">
        <v>13</v>
      </c>
      <c r="E642">
        <v>205</v>
      </c>
      <c r="F642">
        <v>4.4000000000000004</v>
      </c>
      <c r="G642" s="8">
        <v>45138</v>
      </c>
      <c r="H642">
        <v>2023</v>
      </c>
      <c r="I642">
        <v>3</v>
      </c>
      <c r="J642">
        <v>7</v>
      </c>
      <c r="K642" t="s">
        <v>1052</v>
      </c>
      <c r="L642" t="s">
        <v>1041</v>
      </c>
      <c r="M642">
        <v>2024</v>
      </c>
      <c r="N642" t="s">
        <v>1074</v>
      </c>
      <c r="O642">
        <v>4</v>
      </c>
    </row>
    <row r="643" spans="1:15" x14ac:dyDescent="0.25">
      <c r="A643" t="s">
        <v>671</v>
      </c>
      <c r="B643" t="s">
        <v>24</v>
      </c>
      <c r="C643">
        <v>122</v>
      </c>
      <c r="D643" t="s">
        <v>13</v>
      </c>
      <c r="E643">
        <v>78</v>
      </c>
      <c r="F643">
        <v>2.7</v>
      </c>
      <c r="G643" s="8">
        <v>45138</v>
      </c>
      <c r="H643">
        <v>2023</v>
      </c>
      <c r="I643">
        <v>3</v>
      </c>
      <c r="J643">
        <v>7</v>
      </c>
      <c r="K643" t="s">
        <v>1052</v>
      </c>
      <c r="L643" t="s">
        <v>1041</v>
      </c>
      <c r="M643">
        <v>2024</v>
      </c>
      <c r="N643" t="s">
        <v>1075</v>
      </c>
      <c r="O643">
        <v>3</v>
      </c>
    </row>
    <row r="644" spans="1:15" x14ac:dyDescent="0.25">
      <c r="A644" t="s">
        <v>672</v>
      </c>
      <c r="B644" t="s">
        <v>12</v>
      </c>
      <c r="C644">
        <v>58</v>
      </c>
      <c r="D644" t="s">
        <v>6</v>
      </c>
      <c r="E644">
        <v>38</v>
      </c>
      <c r="F644">
        <v>4.5</v>
      </c>
      <c r="G644" s="8">
        <v>45138</v>
      </c>
      <c r="H644">
        <v>2023</v>
      </c>
      <c r="I644">
        <v>3</v>
      </c>
      <c r="J644">
        <v>7</v>
      </c>
      <c r="K644" t="s">
        <v>1052</v>
      </c>
      <c r="L644" t="s">
        <v>1041</v>
      </c>
      <c r="M644">
        <v>2024</v>
      </c>
      <c r="N644" t="s">
        <v>1076</v>
      </c>
      <c r="O644">
        <v>4</v>
      </c>
    </row>
    <row r="645" spans="1:15" x14ac:dyDescent="0.25">
      <c r="A645" t="s">
        <v>673</v>
      </c>
      <c r="B645" t="s">
        <v>17</v>
      </c>
      <c r="C645">
        <v>33</v>
      </c>
      <c r="D645" t="s">
        <v>11</v>
      </c>
      <c r="E645">
        <v>92</v>
      </c>
      <c r="F645">
        <v>1.7</v>
      </c>
      <c r="G645" s="8">
        <v>45138</v>
      </c>
      <c r="H645">
        <v>2023</v>
      </c>
      <c r="I645">
        <v>3</v>
      </c>
      <c r="J645">
        <v>7</v>
      </c>
      <c r="K645" t="s">
        <v>1052</v>
      </c>
      <c r="L645" t="s">
        <v>1041</v>
      </c>
      <c r="M645">
        <v>2024</v>
      </c>
      <c r="N645" t="s">
        <v>1076</v>
      </c>
      <c r="O645">
        <v>2</v>
      </c>
    </row>
    <row r="646" spans="1:15" x14ac:dyDescent="0.25">
      <c r="A646" t="s">
        <v>674</v>
      </c>
      <c r="B646" t="s">
        <v>5</v>
      </c>
      <c r="C646">
        <v>164</v>
      </c>
      <c r="D646" t="s">
        <v>10</v>
      </c>
      <c r="E646">
        <v>36</v>
      </c>
      <c r="F646">
        <v>4.7</v>
      </c>
      <c r="G646" s="8">
        <v>45138</v>
      </c>
      <c r="H646">
        <v>2023</v>
      </c>
      <c r="I646">
        <v>3</v>
      </c>
      <c r="J646">
        <v>7</v>
      </c>
      <c r="K646" t="s">
        <v>1052</v>
      </c>
      <c r="L646" t="s">
        <v>1041</v>
      </c>
      <c r="M646">
        <v>2024</v>
      </c>
      <c r="N646" t="s">
        <v>1075</v>
      </c>
      <c r="O646">
        <v>5</v>
      </c>
    </row>
    <row r="647" spans="1:15" x14ac:dyDescent="0.25">
      <c r="A647" t="s">
        <v>675</v>
      </c>
      <c r="B647" t="s">
        <v>16</v>
      </c>
      <c r="C647">
        <v>163</v>
      </c>
      <c r="D647" t="s">
        <v>9</v>
      </c>
      <c r="E647">
        <v>76</v>
      </c>
      <c r="F647">
        <v>4.4000000000000004</v>
      </c>
      <c r="G647" s="8">
        <v>45138</v>
      </c>
      <c r="H647">
        <v>2023</v>
      </c>
      <c r="I647">
        <v>3</v>
      </c>
      <c r="J647">
        <v>7</v>
      </c>
      <c r="K647" t="s">
        <v>1052</v>
      </c>
      <c r="L647" t="s">
        <v>1041</v>
      </c>
      <c r="M647">
        <v>2024</v>
      </c>
      <c r="N647" t="s">
        <v>1075</v>
      </c>
      <c r="O647">
        <v>4</v>
      </c>
    </row>
    <row r="648" spans="1:15" x14ac:dyDescent="0.25">
      <c r="A648" t="s">
        <v>676</v>
      </c>
      <c r="B648" t="s">
        <v>15</v>
      </c>
      <c r="C648">
        <v>71</v>
      </c>
      <c r="D648" t="s">
        <v>10</v>
      </c>
      <c r="E648">
        <v>170</v>
      </c>
      <c r="F648">
        <v>3.5</v>
      </c>
      <c r="G648" s="8">
        <v>45140</v>
      </c>
      <c r="H648">
        <v>2023</v>
      </c>
      <c r="I648">
        <v>3</v>
      </c>
      <c r="J648">
        <v>8</v>
      </c>
      <c r="K648" t="s">
        <v>1053</v>
      </c>
      <c r="L648" t="s">
        <v>1043</v>
      </c>
      <c r="M648">
        <v>2024</v>
      </c>
      <c r="N648" t="s">
        <v>1074</v>
      </c>
      <c r="O648">
        <v>4</v>
      </c>
    </row>
    <row r="649" spans="1:15" x14ac:dyDescent="0.25">
      <c r="A649" t="s">
        <v>677</v>
      </c>
      <c r="B649" t="s">
        <v>17</v>
      </c>
      <c r="C649">
        <v>103</v>
      </c>
      <c r="D649" t="s">
        <v>6</v>
      </c>
      <c r="E649">
        <v>117</v>
      </c>
      <c r="F649">
        <v>4.7</v>
      </c>
      <c r="G649" s="8">
        <v>45141</v>
      </c>
      <c r="H649">
        <v>2023</v>
      </c>
      <c r="I649">
        <v>3</v>
      </c>
      <c r="J649">
        <v>8</v>
      </c>
      <c r="K649" t="s">
        <v>1053</v>
      </c>
      <c r="L649" t="s">
        <v>1044</v>
      </c>
      <c r="M649">
        <v>2024</v>
      </c>
      <c r="N649" t="s">
        <v>1074</v>
      </c>
      <c r="O649">
        <v>5</v>
      </c>
    </row>
    <row r="650" spans="1:15" x14ac:dyDescent="0.25">
      <c r="A650" t="s">
        <v>678</v>
      </c>
      <c r="B650" t="s">
        <v>7</v>
      </c>
      <c r="C650">
        <v>69</v>
      </c>
      <c r="D650" t="s">
        <v>9</v>
      </c>
      <c r="E650">
        <v>20</v>
      </c>
      <c r="F650">
        <v>4.3</v>
      </c>
      <c r="G650" s="8">
        <v>45141</v>
      </c>
      <c r="H650">
        <v>2023</v>
      </c>
      <c r="I650">
        <v>3</v>
      </c>
      <c r="J650">
        <v>8</v>
      </c>
      <c r="K650" t="s">
        <v>1053</v>
      </c>
      <c r="L650" t="s">
        <v>1044</v>
      </c>
      <c r="M650">
        <v>2024</v>
      </c>
      <c r="N650" t="s">
        <v>1074</v>
      </c>
      <c r="O650">
        <v>4</v>
      </c>
    </row>
    <row r="651" spans="1:15" x14ac:dyDescent="0.25">
      <c r="A651" t="s">
        <v>679</v>
      </c>
      <c r="B651" t="s">
        <v>16</v>
      </c>
      <c r="C651">
        <v>111</v>
      </c>
      <c r="D651" t="s">
        <v>6</v>
      </c>
      <c r="E651">
        <v>99</v>
      </c>
      <c r="F651">
        <v>4.0999999999999996</v>
      </c>
      <c r="G651" s="8">
        <v>45141</v>
      </c>
      <c r="H651">
        <v>2023</v>
      </c>
      <c r="I651">
        <v>3</v>
      </c>
      <c r="J651">
        <v>8</v>
      </c>
      <c r="K651" t="s">
        <v>1053</v>
      </c>
      <c r="L651" t="s">
        <v>1044</v>
      </c>
      <c r="M651">
        <v>2024</v>
      </c>
      <c r="N651" t="s">
        <v>1074</v>
      </c>
      <c r="O651">
        <v>4</v>
      </c>
    </row>
    <row r="652" spans="1:15" x14ac:dyDescent="0.25">
      <c r="A652" t="s">
        <v>680</v>
      </c>
      <c r="B652" t="s">
        <v>18</v>
      </c>
      <c r="C652">
        <v>97</v>
      </c>
      <c r="D652" t="s">
        <v>9</v>
      </c>
      <c r="E652">
        <v>105</v>
      </c>
      <c r="F652">
        <v>2.9</v>
      </c>
      <c r="G652" s="8">
        <v>45142</v>
      </c>
      <c r="H652">
        <v>2023</v>
      </c>
      <c r="I652">
        <v>3</v>
      </c>
      <c r="J652">
        <v>8</v>
      </c>
      <c r="K652" t="s">
        <v>1053</v>
      </c>
      <c r="L652" t="s">
        <v>1045</v>
      </c>
      <c r="M652">
        <v>2024</v>
      </c>
      <c r="N652" t="s">
        <v>1074</v>
      </c>
      <c r="O652">
        <v>3</v>
      </c>
    </row>
    <row r="653" spans="1:15" x14ac:dyDescent="0.25">
      <c r="A653" t="s">
        <v>681</v>
      </c>
      <c r="B653" t="s">
        <v>14</v>
      </c>
      <c r="C653">
        <v>144</v>
      </c>
      <c r="D653" t="s">
        <v>13</v>
      </c>
      <c r="E653">
        <v>195</v>
      </c>
      <c r="F653">
        <v>3.4</v>
      </c>
      <c r="G653" s="8">
        <v>45142</v>
      </c>
      <c r="H653">
        <v>2023</v>
      </c>
      <c r="I653">
        <v>3</v>
      </c>
      <c r="J653">
        <v>8</v>
      </c>
      <c r="K653" t="s">
        <v>1053</v>
      </c>
      <c r="L653" t="s">
        <v>1045</v>
      </c>
      <c r="M653">
        <v>2024</v>
      </c>
      <c r="N653" t="s">
        <v>1075</v>
      </c>
      <c r="O653">
        <v>3</v>
      </c>
    </row>
    <row r="654" spans="1:15" x14ac:dyDescent="0.25">
      <c r="A654" t="s">
        <v>682</v>
      </c>
      <c r="B654" t="s">
        <v>23</v>
      </c>
      <c r="C654">
        <v>56</v>
      </c>
      <c r="D654" t="s">
        <v>9</v>
      </c>
      <c r="E654">
        <v>152</v>
      </c>
      <c r="F654">
        <v>4.5999999999999996</v>
      </c>
      <c r="G654" s="8">
        <v>45143</v>
      </c>
      <c r="H654">
        <v>2023</v>
      </c>
      <c r="I654">
        <v>3</v>
      </c>
      <c r="J654">
        <v>8</v>
      </c>
      <c r="K654" t="s">
        <v>1053</v>
      </c>
      <c r="L654" t="s">
        <v>1046</v>
      </c>
      <c r="M654">
        <v>2024</v>
      </c>
      <c r="N654" t="s">
        <v>1076</v>
      </c>
      <c r="O654">
        <v>5</v>
      </c>
    </row>
    <row r="655" spans="1:15" x14ac:dyDescent="0.25">
      <c r="A655" t="s">
        <v>683</v>
      </c>
      <c r="B655" t="s">
        <v>14</v>
      </c>
      <c r="C655">
        <v>132</v>
      </c>
      <c r="D655" t="s">
        <v>13</v>
      </c>
      <c r="E655">
        <v>195</v>
      </c>
      <c r="F655">
        <v>4.9000000000000004</v>
      </c>
      <c r="G655" s="8">
        <v>45144</v>
      </c>
      <c r="H655">
        <v>2023</v>
      </c>
      <c r="I655">
        <v>3</v>
      </c>
      <c r="J655">
        <v>8</v>
      </c>
      <c r="K655" t="s">
        <v>1053</v>
      </c>
      <c r="L655" t="s">
        <v>1040</v>
      </c>
      <c r="M655">
        <v>2024</v>
      </c>
      <c r="N655" t="s">
        <v>1075</v>
      </c>
      <c r="O655">
        <v>5</v>
      </c>
    </row>
    <row r="656" spans="1:15" x14ac:dyDescent="0.25">
      <c r="A656" t="s">
        <v>684</v>
      </c>
      <c r="B656" t="s">
        <v>15</v>
      </c>
      <c r="C656">
        <v>72</v>
      </c>
      <c r="D656" t="s">
        <v>11</v>
      </c>
      <c r="E656">
        <v>70</v>
      </c>
      <c r="F656">
        <v>3.6</v>
      </c>
      <c r="G656" s="8">
        <v>45144</v>
      </c>
      <c r="H656">
        <v>2023</v>
      </c>
      <c r="I656">
        <v>3</v>
      </c>
      <c r="J656">
        <v>8</v>
      </c>
      <c r="K656" t="s">
        <v>1053</v>
      </c>
      <c r="L656" t="s">
        <v>1040</v>
      </c>
      <c r="M656">
        <v>2024</v>
      </c>
      <c r="N656" t="s">
        <v>1074</v>
      </c>
      <c r="O656">
        <v>4</v>
      </c>
    </row>
    <row r="657" spans="1:15" x14ac:dyDescent="0.25">
      <c r="A657" t="s">
        <v>685</v>
      </c>
      <c r="B657" t="s">
        <v>16</v>
      </c>
      <c r="C657">
        <v>18</v>
      </c>
      <c r="D657" t="s">
        <v>11</v>
      </c>
      <c r="E657">
        <v>22</v>
      </c>
      <c r="F657">
        <v>3.5</v>
      </c>
      <c r="G657" s="8">
        <v>45144</v>
      </c>
      <c r="H657">
        <v>2023</v>
      </c>
      <c r="I657">
        <v>3</v>
      </c>
      <c r="J657">
        <v>8</v>
      </c>
      <c r="K657" t="s">
        <v>1053</v>
      </c>
      <c r="L657" t="s">
        <v>1040</v>
      </c>
      <c r="M657">
        <v>2024</v>
      </c>
      <c r="N657" t="s">
        <v>1077</v>
      </c>
      <c r="O657">
        <v>4</v>
      </c>
    </row>
    <row r="658" spans="1:15" x14ac:dyDescent="0.25">
      <c r="A658" t="s">
        <v>686</v>
      </c>
      <c r="B658" t="s">
        <v>8</v>
      </c>
      <c r="C658">
        <v>115</v>
      </c>
      <c r="D658" t="s">
        <v>6</v>
      </c>
      <c r="E658">
        <v>40</v>
      </c>
      <c r="F658">
        <v>3.3</v>
      </c>
      <c r="G658" s="8">
        <v>45145</v>
      </c>
      <c r="H658">
        <v>2023</v>
      </c>
      <c r="I658">
        <v>3</v>
      </c>
      <c r="J658">
        <v>8</v>
      </c>
      <c r="K658" t="s">
        <v>1053</v>
      </c>
      <c r="L658" t="s">
        <v>1041</v>
      </c>
      <c r="M658">
        <v>2024</v>
      </c>
      <c r="N658" t="s">
        <v>1074</v>
      </c>
      <c r="O658">
        <v>3</v>
      </c>
    </row>
    <row r="659" spans="1:15" x14ac:dyDescent="0.25">
      <c r="A659" t="s">
        <v>687</v>
      </c>
      <c r="B659" t="s">
        <v>8</v>
      </c>
      <c r="C659">
        <v>124</v>
      </c>
      <c r="D659" t="s">
        <v>9</v>
      </c>
      <c r="E659">
        <v>54</v>
      </c>
      <c r="F659">
        <v>3.8</v>
      </c>
      <c r="G659" s="8">
        <v>45146</v>
      </c>
      <c r="H659">
        <v>2023</v>
      </c>
      <c r="I659">
        <v>3</v>
      </c>
      <c r="J659">
        <v>8</v>
      </c>
      <c r="K659" t="s">
        <v>1053</v>
      </c>
      <c r="L659" t="s">
        <v>1042</v>
      </c>
      <c r="M659">
        <v>2024</v>
      </c>
      <c r="N659" t="s">
        <v>1075</v>
      </c>
      <c r="O659">
        <v>4</v>
      </c>
    </row>
    <row r="660" spans="1:15" x14ac:dyDescent="0.25">
      <c r="A660" t="s">
        <v>688</v>
      </c>
      <c r="B660" t="s">
        <v>12</v>
      </c>
      <c r="C660">
        <v>130</v>
      </c>
      <c r="D660" t="s">
        <v>9</v>
      </c>
      <c r="E660">
        <v>60</v>
      </c>
      <c r="F660">
        <v>2.5</v>
      </c>
      <c r="G660" s="8">
        <v>45146</v>
      </c>
      <c r="H660">
        <v>2023</v>
      </c>
      <c r="I660">
        <v>3</v>
      </c>
      <c r="J660">
        <v>8</v>
      </c>
      <c r="K660" t="s">
        <v>1053</v>
      </c>
      <c r="L660" t="s">
        <v>1042</v>
      </c>
      <c r="M660">
        <v>2024</v>
      </c>
      <c r="N660" t="s">
        <v>1075</v>
      </c>
      <c r="O660">
        <v>2</v>
      </c>
    </row>
    <row r="661" spans="1:15" x14ac:dyDescent="0.25">
      <c r="A661" t="s">
        <v>689</v>
      </c>
      <c r="B661" t="s">
        <v>19</v>
      </c>
      <c r="C661">
        <v>120</v>
      </c>
      <c r="D661" t="s">
        <v>10</v>
      </c>
      <c r="E661">
        <v>58</v>
      </c>
      <c r="F661">
        <v>4.5999999999999996</v>
      </c>
      <c r="G661" s="8">
        <v>45148</v>
      </c>
      <c r="H661">
        <v>2023</v>
      </c>
      <c r="I661">
        <v>3</v>
      </c>
      <c r="J661">
        <v>8</v>
      </c>
      <c r="K661" t="s">
        <v>1053</v>
      </c>
      <c r="L661" t="s">
        <v>1044</v>
      </c>
      <c r="M661">
        <v>2024</v>
      </c>
      <c r="N661" t="s">
        <v>1074</v>
      </c>
      <c r="O661">
        <v>5</v>
      </c>
    </row>
    <row r="662" spans="1:15" x14ac:dyDescent="0.25">
      <c r="A662" t="s">
        <v>690</v>
      </c>
      <c r="B662" t="s">
        <v>18</v>
      </c>
      <c r="C662">
        <v>75</v>
      </c>
      <c r="D662" t="s">
        <v>6</v>
      </c>
      <c r="E662">
        <v>220</v>
      </c>
      <c r="F662">
        <v>4.7</v>
      </c>
      <c r="G662" s="8">
        <v>45148</v>
      </c>
      <c r="H662">
        <v>2023</v>
      </c>
      <c r="I662">
        <v>3</v>
      </c>
      <c r="J662">
        <v>8</v>
      </c>
      <c r="K662" t="s">
        <v>1053</v>
      </c>
      <c r="L662" t="s">
        <v>1044</v>
      </c>
      <c r="M662">
        <v>2024</v>
      </c>
      <c r="N662" t="s">
        <v>1074</v>
      </c>
      <c r="O662">
        <v>5</v>
      </c>
    </row>
    <row r="663" spans="1:15" x14ac:dyDescent="0.25">
      <c r="A663" t="s">
        <v>691</v>
      </c>
      <c r="B663" t="s">
        <v>20</v>
      </c>
      <c r="C663">
        <v>63</v>
      </c>
      <c r="D663" t="s">
        <v>6</v>
      </c>
      <c r="E663">
        <v>27</v>
      </c>
      <c r="F663">
        <v>3.6</v>
      </c>
      <c r="G663" s="8">
        <v>45148</v>
      </c>
      <c r="H663">
        <v>2023</v>
      </c>
      <c r="I663">
        <v>3</v>
      </c>
      <c r="J663">
        <v>8</v>
      </c>
      <c r="K663" t="s">
        <v>1053</v>
      </c>
      <c r="L663" t="s">
        <v>1044</v>
      </c>
      <c r="M663">
        <v>2024</v>
      </c>
      <c r="N663" t="s">
        <v>1074</v>
      </c>
      <c r="O663">
        <v>4</v>
      </c>
    </row>
    <row r="664" spans="1:15" x14ac:dyDescent="0.25">
      <c r="A664" t="s">
        <v>692</v>
      </c>
      <c r="B664" t="s">
        <v>14</v>
      </c>
      <c r="C664">
        <v>74</v>
      </c>
      <c r="D664" t="s">
        <v>6</v>
      </c>
      <c r="E664">
        <v>26</v>
      </c>
      <c r="F664">
        <v>4.3</v>
      </c>
      <c r="G664" s="8">
        <v>45150</v>
      </c>
      <c r="H664">
        <v>2023</v>
      </c>
      <c r="I664">
        <v>3</v>
      </c>
      <c r="J664">
        <v>8</v>
      </c>
      <c r="K664" t="s">
        <v>1053</v>
      </c>
      <c r="L664" t="s">
        <v>1046</v>
      </c>
      <c r="M664">
        <v>2024</v>
      </c>
      <c r="N664" t="s">
        <v>1074</v>
      </c>
      <c r="O664">
        <v>4</v>
      </c>
    </row>
    <row r="665" spans="1:15" x14ac:dyDescent="0.25">
      <c r="A665" t="s">
        <v>693</v>
      </c>
      <c r="B665" t="s">
        <v>7</v>
      </c>
      <c r="C665">
        <v>134</v>
      </c>
      <c r="D665" t="s">
        <v>13</v>
      </c>
      <c r="E665">
        <v>160</v>
      </c>
      <c r="F665">
        <v>4.7</v>
      </c>
      <c r="G665" s="8">
        <v>45151</v>
      </c>
      <c r="H665">
        <v>2023</v>
      </c>
      <c r="I665">
        <v>3</v>
      </c>
      <c r="J665">
        <v>8</v>
      </c>
      <c r="K665" t="s">
        <v>1053</v>
      </c>
      <c r="L665" t="s">
        <v>1040</v>
      </c>
      <c r="M665">
        <v>2024</v>
      </c>
      <c r="N665" t="s">
        <v>1075</v>
      </c>
      <c r="O665">
        <v>5</v>
      </c>
    </row>
    <row r="666" spans="1:15" x14ac:dyDescent="0.25">
      <c r="A666" t="s">
        <v>694</v>
      </c>
      <c r="B666" t="s">
        <v>16</v>
      </c>
      <c r="C666">
        <v>103</v>
      </c>
      <c r="D666" t="s">
        <v>9</v>
      </c>
      <c r="E666">
        <v>200</v>
      </c>
      <c r="F666">
        <v>4.9000000000000004</v>
      </c>
      <c r="G666" s="8">
        <v>45151</v>
      </c>
      <c r="H666">
        <v>2023</v>
      </c>
      <c r="I666">
        <v>3</v>
      </c>
      <c r="J666">
        <v>8</v>
      </c>
      <c r="K666" t="s">
        <v>1053</v>
      </c>
      <c r="L666" t="s">
        <v>1040</v>
      </c>
      <c r="M666">
        <v>2024</v>
      </c>
      <c r="N666" t="s">
        <v>1074</v>
      </c>
      <c r="O666">
        <v>5</v>
      </c>
    </row>
    <row r="667" spans="1:15" x14ac:dyDescent="0.25">
      <c r="A667" t="s">
        <v>695</v>
      </c>
      <c r="B667" t="s">
        <v>16</v>
      </c>
      <c r="C667">
        <v>155</v>
      </c>
      <c r="D667" t="s">
        <v>10</v>
      </c>
      <c r="E667">
        <v>135</v>
      </c>
      <c r="F667">
        <v>4.9000000000000004</v>
      </c>
      <c r="G667" s="8">
        <v>45154</v>
      </c>
      <c r="H667">
        <v>2023</v>
      </c>
      <c r="I667">
        <v>3</v>
      </c>
      <c r="J667">
        <v>8</v>
      </c>
      <c r="K667" t="s">
        <v>1053</v>
      </c>
      <c r="L667" t="s">
        <v>1043</v>
      </c>
      <c r="M667">
        <v>2024</v>
      </c>
      <c r="N667" t="s">
        <v>1075</v>
      </c>
      <c r="O667">
        <v>5</v>
      </c>
    </row>
    <row r="668" spans="1:15" x14ac:dyDescent="0.25">
      <c r="A668" t="s">
        <v>696</v>
      </c>
      <c r="B668" t="s">
        <v>20</v>
      </c>
      <c r="C668">
        <v>128</v>
      </c>
      <c r="D668" t="s">
        <v>9</v>
      </c>
      <c r="E668">
        <v>22</v>
      </c>
      <c r="F668">
        <v>1.9</v>
      </c>
      <c r="G668" s="8">
        <v>45155</v>
      </c>
      <c r="H668">
        <v>2023</v>
      </c>
      <c r="I668">
        <v>3</v>
      </c>
      <c r="J668">
        <v>8</v>
      </c>
      <c r="K668" t="s">
        <v>1053</v>
      </c>
      <c r="L668" t="s">
        <v>1044</v>
      </c>
      <c r="M668">
        <v>2024</v>
      </c>
      <c r="N668" t="s">
        <v>1075</v>
      </c>
      <c r="O668">
        <v>2</v>
      </c>
    </row>
    <row r="669" spans="1:15" x14ac:dyDescent="0.25">
      <c r="A669" t="s">
        <v>697</v>
      </c>
      <c r="B669" t="s">
        <v>18</v>
      </c>
      <c r="C669">
        <v>89</v>
      </c>
      <c r="D669" t="s">
        <v>13</v>
      </c>
      <c r="E669">
        <v>164</v>
      </c>
      <c r="F669">
        <v>4.5</v>
      </c>
      <c r="G669" s="8">
        <v>45156</v>
      </c>
      <c r="H669">
        <v>2023</v>
      </c>
      <c r="I669">
        <v>3</v>
      </c>
      <c r="J669">
        <v>8</v>
      </c>
      <c r="K669" t="s">
        <v>1053</v>
      </c>
      <c r="L669" t="s">
        <v>1045</v>
      </c>
      <c r="M669">
        <v>2024</v>
      </c>
      <c r="N669" t="s">
        <v>1074</v>
      </c>
      <c r="O669">
        <v>4</v>
      </c>
    </row>
    <row r="670" spans="1:15" x14ac:dyDescent="0.25">
      <c r="A670" t="s">
        <v>698</v>
      </c>
      <c r="B670" t="s">
        <v>8</v>
      </c>
      <c r="C670">
        <v>81</v>
      </c>
      <c r="D670" t="s">
        <v>10</v>
      </c>
      <c r="E670">
        <v>21</v>
      </c>
      <c r="F670">
        <v>4.9000000000000004</v>
      </c>
      <c r="G670" s="8">
        <v>45156</v>
      </c>
      <c r="H670">
        <v>2023</v>
      </c>
      <c r="I670">
        <v>3</v>
      </c>
      <c r="J670">
        <v>8</v>
      </c>
      <c r="K670" t="s">
        <v>1053</v>
      </c>
      <c r="L670" t="s">
        <v>1045</v>
      </c>
      <c r="M670">
        <v>2024</v>
      </c>
      <c r="N670" t="s">
        <v>1074</v>
      </c>
      <c r="O670">
        <v>5</v>
      </c>
    </row>
    <row r="671" spans="1:15" x14ac:dyDescent="0.25">
      <c r="A671" t="s">
        <v>699</v>
      </c>
      <c r="B671" t="s">
        <v>18</v>
      </c>
      <c r="C671">
        <v>66</v>
      </c>
      <c r="D671" t="s">
        <v>13</v>
      </c>
      <c r="E671">
        <v>120</v>
      </c>
      <c r="F671">
        <v>4.5</v>
      </c>
      <c r="G671" s="8">
        <v>45157</v>
      </c>
      <c r="H671">
        <v>2023</v>
      </c>
      <c r="I671">
        <v>3</v>
      </c>
      <c r="J671">
        <v>8</v>
      </c>
      <c r="K671" t="s">
        <v>1053</v>
      </c>
      <c r="L671" t="s">
        <v>1046</v>
      </c>
      <c r="M671">
        <v>2024</v>
      </c>
      <c r="N671" t="s">
        <v>1074</v>
      </c>
      <c r="O671">
        <v>4</v>
      </c>
    </row>
    <row r="672" spans="1:15" x14ac:dyDescent="0.25">
      <c r="A672" t="s">
        <v>700</v>
      </c>
      <c r="B672" t="s">
        <v>15</v>
      </c>
      <c r="C672">
        <v>61</v>
      </c>
      <c r="D672" t="s">
        <v>11</v>
      </c>
      <c r="E672">
        <v>93</v>
      </c>
      <c r="F672">
        <v>2.7</v>
      </c>
      <c r="G672" s="8">
        <v>45157</v>
      </c>
      <c r="H672">
        <v>2023</v>
      </c>
      <c r="I672">
        <v>3</v>
      </c>
      <c r="J672">
        <v>8</v>
      </c>
      <c r="K672" t="s">
        <v>1053</v>
      </c>
      <c r="L672" t="s">
        <v>1046</v>
      </c>
      <c r="M672">
        <v>2024</v>
      </c>
      <c r="N672" t="s">
        <v>1074</v>
      </c>
      <c r="O672">
        <v>3</v>
      </c>
    </row>
    <row r="673" spans="1:15" x14ac:dyDescent="0.25">
      <c r="A673" t="s">
        <v>701</v>
      </c>
      <c r="B673" t="s">
        <v>8</v>
      </c>
      <c r="C673">
        <v>128</v>
      </c>
      <c r="D673" t="s">
        <v>11</v>
      </c>
      <c r="E673">
        <v>135</v>
      </c>
      <c r="F673">
        <v>2.1</v>
      </c>
      <c r="G673" s="8">
        <v>45157</v>
      </c>
      <c r="H673">
        <v>2023</v>
      </c>
      <c r="I673">
        <v>3</v>
      </c>
      <c r="J673">
        <v>8</v>
      </c>
      <c r="K673" t="s">
        <v>1053</v>
      </c>
      <c r="L673" t="s">
        <v>1046</v>
      </c>
      <c r="M673">
        <v>2024</v>
      </c>
      <c r="N673" t="s">
        <v>1075</v>
      </c>
      <c r="O673">
        <v>2</v>
      </c>
    </row>
    <row r="674" spans="1:15" x14ac:dyDescent="0.25">
      <c r="A674" t="s">
        <v>702</v>
      </c>
      <c r="B674" t="s">
        <v>16</v>
      </c>
      <c r="C674">
        <v>30</v>
      </c>
      <c r="D674" t="s">
        <v>10</v>
      </c>
      <c r="E674">
        <v>210</v>
      </c>
      <c r="F674">
        <v>4.2</v>
      </c>
      <c r="G674" s="8">
        <v>45157</v>
      </c>
      <c r="H674">
        <v>2023</v>
      </c>
      <c r="I674">
        <v>3</v>
      </c>
      <c r="J674">
        <v>8</v>
      </c>
      <c r="K674" t="s">
        <v>1053</v>
      </c>
      <c r="L674" t="s">
        <v>1046</v>
      </c>
      <c r="M674">
        <v>2024</v>
      </c>
      <c r="N674" t="s">
        <v>1077</v>
      </c>
      <c r="O674">
        <v>4</v>
      </c>
    </row>
    <row r="675" spans="1:15" x14ac:dyDescent="0.25">
      <c r="A675" t="s">
        <v>703</v>
      </c>
      <c r="B675" t="s">
        <v>5</v>
      </c>
      <c r="C675">
        <v>63</v>
      </c>
      <c r="D675" t="s">
        <v>11</v>
      </c>
      <c r="E675">
        <v>29</v>
      </c>
      <c r="F675">
        <v>4.7</v>
      </c>
      <c r="G675" s="8">
        <v>45158</v>
      </c>
      <c r="H675">
        <v>2023</v>
      </c>
      <c r="I675">
        <v>3</v>
      </c>
      <c r="J675">
        <v>8</v>
      </c>
      <c r="K675" t="s">
        <v>1053</v>
      </c>
      <c r="L675" t="s">
        <v>1040</v>
      </c>
      <c r="M675">
        <v>2024</v>
      </c>
      <c r="N675" t="s">
        <v>1074</v>
      </c>
      <c r="O675">
        <v>5</v>
      </c>
    </row>
    <row r="676" spans="1:15" x14ac:dyDescent="0.25">
      <c r="A676" t="s">
        <v>704</v>
      </c>
      <c r="B676" t="s">
        <v>24</v>
      </c>
      <c r="C676">
        <v>64</v>
      </c>
      <c r="D676" t="s">
        <v>6</v>
      </c>
      <c r="E676">
        <v>111</v>
      </c>
      <c r="F676">
        <v>3.9</v>
      </c>
      <c r="G676" s="8">
        <v>45158</v>
      </c>
      <c r="H676">
        <v>2023</v>
      </c>
      <c r="I676">
        <v>3</v>
      </c>
      <c r="J676">
        <v>8</v>
      </c>
      <c r="K676" t="s">
        <v>1053</v>
      </c>
      <c r="L676" t="s">
        <v>1040</v>
      </c>
      <c r="M676">
        <v>2024</v>
      </c>
      <c r="N676" t="s">
        <v>1074</v>
      </c>
      <c r="O676">
        <v>4</v>
      </c>
    </row>
    <row r="677" spans="1:15" x14ac:dyDescent="0.25">
      <c r="A677" t="s">
        <v>705</v>
      </c>
      <c r="B677" t="s">
        <v>21</v>
      </c>
      <c r="C677">
        <v>151</v>
      </c>
      <c r="D677" t="s">
        <v>9</v>
      </c>
      <c r="E677">
        <v>63</v>
      </c>
      <c r="F677">
        <v>4.0999999999999996</v>
      </c>
      <c r="G677" s="8">
        <v>45159</v>
      </c>
      <c r="H677">
        <v>2023</v>
      </c>
      <c r="I677">
        <v>3</v>
      </c>
      <c r="J677">
        <v>8</v>
      </c>
      <c r="K677" t="s">
        <v>1053</v>
      </c>
      <c r="L677" t="s">
        <v>1041</v>
      </c>
      <c r="M677">
        <v>2024</v>
      </c>
      <c r="N677" t="s">
        <v>1075</v>
      </c>
      <c r="O677">
        <v>4</v>
      </c>
    </row>
    <row r="678" spans="1:15" x14ac:dyDescent="0.25">
      <c r="A678" t="s">
        <v>706</v>
      </c>
      <c r="B678" t="s">
        <v>17</v>
      </c>
      <c r="C678">
        <v>116</v>
      </c>
      <c r="D678" t="s">
        <v>13</v>
      </c>
      <c r="E678">
        <v>44</v>
      </c>
      <c r="F678">
        <v>3.8</v>
      </c>
      <c r="G678" s="8">
        <v>45159</v>
      </c>
      <c r="H678">
        <v>2023</v>
      </c>
      <c r="I678">
        <v>3</v>
      </c>
      <c r="J678">
        <v>8</v>
      </c>
      <c r="K678" t="s">
        <v>1053</v>
      </c>
      <c r="L678" t="s">
        <v>1041</v>
      </c>
      <c r="M678">
        <v>2024</v>
      </c>
      <c r="N678" t="s">
        <v>1074</v>
      </c>
      <c r="O678">
        <v>4</v>
      </c>
    </row>
    <row r="679" spans="1:15" x14ac:dyDescent="0.25">
      <c r="A679" t="s">
        <v>707</v>
      </c>
      <c r="B679" t="s">
        <v>21</v>
      </c>
      <c r="C679">
        <v>111</v>
      </c>
      <c r="D679" t="s">
        <v>13</v>
      </c>
      <c r="E679">
        <v>120</v>
      </c>
      <c r="F679">
        <v>1.8</v>
      </c>
      <c r="G679" s="8">
        <v>45161</v>
      </c>
      <c r="H679">
        <v>2023</v>
      </c>
      <c r="I679">
        <v>3</v>
      </c>
      <c r="J679">
        <v>8</v>
      </c>
      <c r="K679" t="s">
        <v>1053</v>
      </c>
      <c r="L679" t="s">
        <v>1043</v>
      </c>
      <c r="M679">
        <v>2024</v>
      </c>
      <c r="N679" t="s">
        <v>1074</v>
      </c>
      <c r="O679">
        <v>2</v>
      </c>
    </row>
    <row r="680" spans="1:15" x14ac:dyDescent="0.25">
      <c r="A680" t="s">
        <v>708</v>
      </c>
      <c r="B680" t="s">
        <v>8</v>
      </c>
      <c r="C680">
        <v>15</v>
      </c>
      <c r="D680" t="s">
        <v>13</v>
      </c>
      <c r="E680">
        <v>120</v>
      </c>
      <c r="F680">
        <v>4.0999999999999996</v>
      </c>
      <c r="G680" s="8">
        <v>45161</v>
      </c>
      <c r="H680">
        <v>2023</v>
      </c>
      <c r="I680">
        <v>3</v>
      </c>
      <c r="J680">
        <v>8</v>
      </c>
      <c r="K680" t="s">
        <v>1053</v>
      </c>
      <c r="L680" t="s">
        <v>1043</v>
      </c>
      <c r="M680">
        <v>2024</v>
      </c>
      <c r="N680" t="s">
        <v>1077</v>
      </c>
      <c r="O680">
        <v>4</v>
      </c>
    </row>
    <row r="681" spans="1:15" x14ac:dyDescent="0.25">
      <c r="A681" t="s">
        <v>709</v>
      </c>
      <c r="B681" t="s">
        <v>24</v>
      </c>
      <c r="C681">
        <v>18</v>
      </c>
      <c r="D681" t="s">
        <v>9</v>
      </c>
      <c r="E681">
        <v>40</v>
      </c>
      <c r="F681">
        <v>4.4000000000000004</v>
      </c>
      <c r="G681" s="8">
        <v>45162</v>
      </c>
      <c r="H681">
        <v>2023</v>
      </c>
      <c r="I681">
        <v>3</v>
      </c>
      <c r="J681">
        <v>8</v>
      </c>
      <c r="K681" t="s">
        <v>1053</v>
      </c>
      <c r="L681" t="s">
        <v>1044</v>
      </c>
      <c r="M681">
        <v>2024</v>
      </c>
      <c r="N681" t="s">
        <v>1077</v>
      </c>
      <c r="O681">
        <v>4</v>
      </c>
    </row>
    <row r="682" spans="1:15" x14ac:dyDescent="0.25">
      <c r="A682" t="s">
        <v>710</v>
      </c>
      <c r="B682" t="s">
        <v>15</v>
      </c>
      <c r="C682">
        <v>146</v>
      </c>
      <c r="D682" t="s">
        <v>11</v>
      </c>
      <c r="E682">
        <v>160</v>
      </c>
      <c r="F682">
        <v>4.0999999999999996</v>
      </c>
      <c r="G682" s="8">
        <v>45162</v>
      </c>
      <c r="H682">
        <v>2023</v>
      </c>
      <c r="I682">
        <v>3</v>
      </c>
      <c r="J682">
        <v>8</v>
      </c>
      <c r="K682" t="s">
        <v>1053</v>
      </c>
      <c r="L682" t="s">
        <v>1044</v>
      </c>
      <c r="M682">
        <v>2024</v>
      </c>
      <c r="N682" t="s">
        <v>1075</v>
      </c>
      <c r="O682">
        <v>4</v>
      </c>
    </row>
    <row r="683" spans="1:15" x14ac:dyDescent="0.25">
      <c r="A683" t="s">
        <v>711</v>
      </c>
      <c r="B683" t="s">
        <v>16</v>
      </c>
      <c r="C683">
        <v>73</v>
      </c>
      <c r="D683" t="s">
        <v>13</v>
      </c>
      <c r="E683">
        <v>44</v>
      </c>
      <c r="F683">
        <v>3.8</v>
      </c>
      <c r="G683" s="8">
        <v>45163</v>
      </c>
      <c r="H683">
        <v>2023</v>
      </c>
      <c r="I683">
        <v>3</v>
      </c>
      <c r="J683">
        <v>8</v>
      </c>
      <c r="K683" t="s">
        <v>1053</v>
      </c>
      <c r="L683" t="s">
        <v>1045</v>
      </c>
      <c r="M683">
        <v>2024</v>
      </c>
      <c r="N683" t="s">
        <v>1074</v>
      </c>
      <c r="O683">
        <v>4</v>
      </c>
    </row>
    <row r="684" spans="1:15" x14ac:dyDescent="0.25">
      <c r="A684" t="s">
        <v>712</v>
      </c>
      <c r="B684" t="s">
        <v>21</v>
      </c>
      <c r="C684">
        <v>108</v>
      </c>
      <c r="D684" t="s">
        <v>9</v>
      </c>
      <c r="E684">
        <v>80</v>
      </c>
      <c r="F684">
        <v>4.3</v>
      </c>
      <c r="G684" s="8">
        <v>45163</v>
      </c>
      <c r="H684">
        <v>2023</v>
      </c>
      <c r="I684">
        <v>3</v>
      </c>
      <c r="J684">
        <v>8</v>
      </c>
      <c r="K684" t="s">
        <v>1053</v>
      </c>
      <c r="L684" t="s">
        <v>1045</v>
      </c>
      <c r="M684">
        <v>2024</v>
      </c>
      <c r="N684" t="s">
        <v>1074</v>
      </c>
      <c r="O684">
        <v>4</v>
      </c>
    </row>
    <row r="685" spans="1:15" x14ac:dyDescent="0.25">
      <c r="A685" t="s">
        <v>713</v>
      </c>
      <c r="B685" t="s">
        <v>7</v>
      </c>
      <c r="C685">
        <v>52</v>
      </c>
      <c r="D685" t="s">
        <v>9</v>
      </c>
      <c r="E685">
        <v>66</v>
      </c>
      <c r="F685">
        <v>4.5</v>
      </c>
      <c r="G685" s="8">
        <v>45164</v>
      </c>
      <c r="H685">
        <v>2023</v>
      </c>
      <c r="I685">
        <v>3</v>
      </c>
      <c r="J685">
        <v>8</v>
      </c>
      <c r="K685" t="s">
        <v>1053</v>
      </c>
      <c r="L685" t="s">
        <v>1046</v>
      </c>
      <c r="M685">
        <v>2024</v>
      </c>
      <c r="N685" t="s">
        <v>1076</v>
      </c>
      <c r="O685">
        <v>4</v>
      </c>
    </row>
    <row r="686" spans="1:15" x14ac:dyDescent="0.25">
      <c r="A686" t="s">
        <v>714</v>
      </c>
      <c r="B686" t="s">
        <v>17</v>
      </c>
      <c r="C686">
        <v>165</v>
      </c>
      <c r="D686" t="s">
        <v>6</v>
      </c>
      <c r="E686">
        <v>82</v>
      </c>
      <c r="F686">
        <v>3.4</v>
      </c>
      <c r="G686" s="8">
        <v>45164</v>
      </c>
      <c r="H686">
        <v>2023</v>
      </c>
      <c r="I686">
        <v>3</v>
      </c>
      <c r="J686">
        <v>8</v>
      </c>
      <c r="K686" t="s">
        <v>1053</v>
      </c>
      <c r="L686" t="s">
        <v>1046</v>
      </c>
      <c r="M686">
        <v>2024</v>
      </c>
      <c r="N686" t="s">
        <v>1075</v>
      </c>
      <c r="O686">
        <v>3</v>
      </c>
    </row>
    <row r="687" spans="1:15" x14ac:dyDescent="0.25">
      <c r="A687" t="s">
        <v>715</v>
      </c>
      <c r="B687" t="s">
        <v>15</v>
      </c>
      <c r="C687">
        <v>104</v>
      </c>
      <c r="D687" t="s">
        <v>13</v>
      </c>
      <c r="E687">
        <v>66</v>
      </c>
      <c r="F687">
        <v>4.8</v>
      </c>
      <c r="G687" s="8">
        <v>45164</v>
      </c>
      <c r="H687">
        <v>2023</v>
      </c>
      <c r="I687">
        <v>3</v>
      </c>
      <c r="J687">
        <v>8</v>
      </c>
      <c r="K687" t="s">
        <v>1053</v>
      </c>
      <c r="L687" t="s">
        <v>1046</v>
      </c>
      <c r="M687">
        <v>2024</v>
      </c>
      <c r="N687" t="s">
        <v>1074</v>
      </c>
      <c r="O687">
        <v>5</v>
      </c>
    </row>
    <row r="688" spans="1:15" x14ac:dyDescent="0.25">
      <c r="A688" t="s">
        <v>716</v>
      </c>
      <c r="B688" t="s">
        <v>16</v>
      </c>
      <c r="C688">
        <v>131</v>
      </c>
      <c r="D688" t="s">
        <v>11</v>
      </c>
      <c r="E688">
        <v>92</v>
      </c>
      <c r="F688">
        <v>4.9000000000000004</v>
      </c>
      <c r="G688" s="8">
        <v>45164</v>
      </c>
      <c r="H688">
        <v>2023</v>
      </c>
      <c r="I688">
        <v>3</v>
      </c>
      <c r="J688">
        <v>8</v>
      </c>
      <c r="K688" t="s">
        <v>1053</v>
      </c>
      <c r="L688" t="s">
        <v>1046</v>
      </c>
      <c r="M688">
        <v>2024</v>
      </c>
      <c r="N688" t="s">
        <v>1075</v>
      </c>
      <c r="O688">
        <v>5</v>
      </c>
    </row>
    <row r="689" spans="1:15" x14ac:dyDescent="0.25">
      <c r="A689" t="s">
        <v>717</v>
      </c>
      <c r="B689" t="s">
        <v>19</v>
      </c>
      <c r="C689">
        <v>80</v>
      </c>
      <c r="D689" t="s">
        <v>6</v>
      </c>
      <c r="E689">
        <v>104</v>
      </c>
      <c r="F689">
        <v>4.7</v>
      </c>
      <c r="G689" s="8">
        <v>45165</v>
      </c>
      <c r="H689">
        <v>2023</v>
      </c>
      <c r="I689">
        <v>3</v>
      </c>
      <c r="J689">
        <v>8</v>
      </c>
      <c r="K689" t="s">
        <v>1053</v>
      </c>
      <c r="L689" t="s">
        <v>1040</v>
      </c>
      <c r="M689">
        <v>2024</v>
      </c>
      <c r="N689" t="s">
        <v>1074</v>
      </c>
      <c r="O689">
        <v>5</v>
      </c>
    </row>
    <row r="690" spans="1:15" x14ac:dyDescent="0.25">
      <c r="A690" t="s">
        <v>718</v>
      </c>
      <c r="B690" t="s">
        <v>8</v>
      </c>
      <c r="C690">
        <v>49</v>
      </c>
      <c r="D690" t="s">
        <v>13</v>
      </c>
      <c r="E690">
        <v>105</v>
      </c>
      <c r="F690">
        <v>3.3</v>
      </c>
      <c r="G690" s="8">
        <v>45165</v>
      </c>
      <c r="H690">
        <v>2023</v>
      </c>
      <c r="I690">
        <v>3</v>
      </c>
      <c r="J690">
        <v>8</v>
      </c>
      <c r="K690" t="s">
        <v>1053</v>
      </c>
      <c r="L690" t="s">
        <v>1040</v>
      </c>
      <c r="M690">
        <v>2024</v>
      </c>
      <c r="N690" t="s">
        <v>1076</v>
      </c>
      <c r="O690">
        <v>3</v>
      </c>
    </row>
    <row r="691" spans="1:15" x14ac:dyDescent="0.25">
      <c r="A691" t="s">
        <v>719</v>
      </c>
      <c r="B691" t="s">
        <v>17</v>
      </c>
      <c r="C691">
        <v>73</v>
      </c>
      <c r="D691" t="s">
        <v>13</v>
      </c>
      <c r="E691">
        <v>100</v>
      </c>
      <c r="F691">
        <v>2.8</v>
      </c>
      <c r="G691" s="8">
        <v>45165</v>
      </c>
      <c r="H691">
        <v>2023</v>
      </c>
      <c r="I691">
        <v>3</v>
      </c>
      <c r="J691">
        <v>8</v>
      </c>
      <c r="K691" t="s">
        <v>1053</v>
      </c>
      <c r="L691" t="s">
        <v>1040</v>
      </c>
      <c r="M691">
        <v>2024</v>
      </c>
      <c r="N691" t="s">
        <v>1074</v>
      </c>
      <c r="O691">
        <v>3</v>
      </c>
    </row>
    <row r="692" spans="1:15" x14ac:dyDescent="0.25">
      <c r="A692" t="s">
        <v>720</v>
      </c>
      <c r="B692" t="s">
        <v>15</v>
      </c>
      <c r="C692">
        <v>117</v>
      </c>
      <c r="D692" t="s">
        <v>6</v>
      </c>
      <c r="E692">
        <v>90</v>
      </c>
      <c r="F692">
        <v>4.0999999999999996</v>
      </c>
      <c r="G692" s="8">
        <v>45165</v>
      </c>
      <c r="H692">
        <v>2023</v>
      </c>
      <c r="I692">
        <v>3</v>
      </c>
      <c r="J692">
        <v>8</v>
      </c>
      <c r="K692" t="s">
        <v>1053</v>
      </c>
      <c r="L692" t="s">
        <v>1040</v>
      </c>
      <c r="M692">
        <v>2024</v>
      </c>
      <c r="N692" t="s">
        <v>1074</v>
      </c>
      <c r="O692">
        <v>4</v>
      </c>
    </row>
    <row r="693" spans="1:15" x14ac:dyDescent="0.25">
      <c r="A693" t="s">
        <v>721</v>
      </c>
      <c r="B693" t="s">
        <v>23</v>
      </c>
      <c r="C693">
        <v>38</v>
      </c>
      <c r="D693" t="s">
        <v>10</v>
      </c>
      <c r="E693">
        <v>110</v>
      </c>
      <c r="F693">
        <v>3.5</v>
      </c>
      <c r="G693" s="8">
        <v>45165</v>
      </c>
      <c r="H693">
        <v>2023</v>
      </c>
      <c r="I693">
        <v>3</v>
      </c>
      <c r="J693">
        <v>8</v>
      </c>
      <c r="K693" t="s">
        <v>1053</v>
      </c>
      <c r="L693" t="s">
        <v>1040</v>
      </c>
      <c r="M693">
        <v>2024</v>
      </c>
      <c r="N693" t="s">
        <v>1076</v>
      </c>
      <c r="O693">
        <v>4</v>
      </c>
    </row>
    <row r="694" spans="1:15" x14ac:dyDescent="0.25">
      <c r="A694" t="s">
        <v>722</v>
      </c>
      <c r="B694" t="s">
        <v>7</v>
      </c>
      <c r="C694">
        <v>109</v>
      </c>
      <c r="D694" t="s">
        <v>6</v>
      </c>
      <c r="E694">
        <v>68</v>
      </c>
      <c r="F694">
        <v>2.2999999999999998</v>
      </c>
      <c r="G694" s="8">
        <v>45167</v>
      </c>
      <c r="H694">
        <v>2023</v>
      </c>
      <c r="I694">
        <v>3</v>
      </c>
      <c r="J694">
        <v>8</v>
      </c>
      <c r="K694" t="s">
        <v>1053</v>
      </c>
      <c r="L694" t="s">
        <v>1042</v>
      </c>
      <c r="M694">
        <v>2024</v>
      </c>
      <c r="N694" t="s">
        <v>1074</v>
      </c>
      <c r="O694">
        <v>2</v>
      </c>
    </row>
    <row r="695" spans="1:15" x14ac:dyDescent="0.25">
      <c r="A695" t="s">
        <v>723</v>
      </c>
      <c r="B695" t="s">
        <v>8</v>
      </c>
      <c r="C695">
        <v>70</v>
      </c>
      <c r="D695" t="s">
        <v>9</v>
      </c>
      <c r="E695">
        <v>210</v>
      </c>
      <c r="F695">
        <v>4.0999999999999996</v>
      </c>
      <c r="G695" s="8">
        <v>45168</v>
      </c>
      <c r="H695">
        <v>2023</v>
      </c>
      <c r="I695">
        <v>3</v>
      </c>
      <c r="J695">
        <v>8</v>
      </c>
      <c r="K695" t="s">
        <v>1053</v>
      </c>
      <c r="L695" t="s">
        <v>1043</v>
      </c>
      <c r="M695">
        <v>2024</v>
      </c>
      <c r="N695" t="s">
        <v>1074</v>
      </c>
      <c r="O695">
        <v>4</v>
      </c>
    </row>
    <row r="696" spans="1:15" x14ac:dyDescent="0.25">
      <c r="A696" t="s">
        <v>724</v>
      </c>
      <c r="B696" t="s">
        <v>12</v>
      </c>
      <c r="C696">
        <v>51</v>
      </c>
      <c r="D696" t="s">
        <v>10</v>
      </c>
      <c r="E696">
        <v>111</v>
      </c>
      <c r="F696">
        <v>4.3</v>
      </c>
      <c r="G696" s="8">
        <v>45168</v>
      </c>
      <c r="H696">
        <v>2023</v>
      </c>
      <c r="I696">
        <v>3</v>
      </c>
      <c r="J696">
        <v>8</v>
      </c>
      <c r="K696" t="s">
        <v>1053</v>
      </c>
      <c r="L696" t="s">
        <v>1043</v>
      </c>
      <c r="M696">
        <v>2024</v>
      </c>
      <c r="N696" t="s">
        <v>1076</v>
      </c>
      <c r="O696">
        <v>4</v>
      </c>
    </row>
    <row r="697" spans="1:15" x14ac:dyDescent="0.25">
      <c r="A697" t="s">
        <v>725</v>
      </c>
      <c r="B697" t="s">
        <v>12</v>
      </c>
      <c r="C697">
        <v>100</v>
      </c>
      <c r="D697" t="s">
        <v>9</v>
      </c>
      <c r="E697">
        <v>45</v>
      </c>
      <c r="F697">
        <v>4.9000000000000004</v>
      </c>
      <c r="G697" s="8">
        <v>45169</v>
      </c>
      <c r="H697">
        <v>2023</v>
      </c>
      <c r="I697">
        <v>3</v>
      </c>
      <c r="J697">
        <v>8</v>
      </c>
      <c r="K697" t="s">
        <v>1053</v>
      </c>
      <c r="L697" t="s">
        <v>1044</v>
      </c>
      <c r="M697">
        <v>2024</v>
      </c>
      <c r="N697" t="s">
        <v>1074</v>
      </c>
      <c r="O697">
        <v>5</v>
      </c>
    </row>
    <row r="698" spans="1:15" x14ac:dyDescent="0.25">
      <c r="A698" t="s">
        <v>726</v>
      </c>
      <c r="B698" t="s">
        <v>14</v>
      </c>
      <c r="C698">
        <v>124</v>
      </c>
      <c r="D698" t="s">
        <v>10</v>
      </c>
      <c r="E698">
        <v>132</v>
      </c>
      <c r="F698">
        <v>4</v>
      </c>
      <c r="G698" s="8">
        <v>45170</v>
      </c>
      <c r="H698">
        <v>2023</v>
      </c>
      <c r="I698">
        <v>3</v>
      </c>
      <c r="J698">
        <v>9</v>
      </c>
      <c r="K698" t="s">
        <v>1054</v>
      </c>
      <c r="L698" t="s">
        <v>1045</v>
      </c>
      <c r="M698">
        <v>2024</v>
      </c>
      <c r="N698" t="s">
        <v>1075</v>
      </c>
      <c r="O698">
        <v>4</v>
      </c>
    </row>
    <row r="699" spans="1:15" x14ac:dyDescent="0.25">
      <c r="A699" t="s">
        <v>727</v>
      </c>
      <c r="B699" t="s">
        <v>20</v>
      </c>
      <c r="C699">
        <v>143</v>
      </c>
      <c r="D699" t="s">
        <v>6</v>
      </c>
      <c r="E699">
        <v>20</v>
      </c>
      <c r="F699">
        <v>4.7</v>
      </c>
      <c r="G699" s="8">
        <v>45170</v>
      </c>
      <c r="H699">
        <v>2023</v>
      </c>
      <c r="I699">
        <v>3</v>
      </c>
      <c r="J699">
        <v>9</v>
      </c>
      <c r="K699" t="s">
        <v>1054</v>
      </c>
      <c r="L699" t="s">
        <v>1045</v>
      </c>
      <c r="M699">
        <v>2024</v>
      </c>
      <c r="N699" t="s">
        <v>1075</v>
      </c>
      <c r="O699">
        <v>5</v>
      </c>
    </row>
    <row r="700" spans="1:15" x14ac:dyDescent="0.25">
      <c r="A700" t="s">
        <v>728</v>
      </c>
      <c r="B700" t="s">
        <v>18</v>
      </c>
      <c r="C700">
        <v>96</v>
      </c>
      <c r="D700" t="s">
        <v>13</v>
      </c>
      <c r="E700">
        <v>36</v>
      </c>
      <c r="F700">
        <v>3.4</v>
      </c>
      <c r="G700" s="8">
        <v>45170</v>
      </c>
      <c r="H700">
        <v>2023</v>
      </c>
      <c r="I700">
        <v>3</v>
      </c>
      <c r="J700">
        <v>9</v>
      </c>
      <c r="K700" t="s">
        <v>1054</v>
      </c>
      <c r="L700" t="s">
        <v>1045</v>
      </c>
      <c r="M700">
        <v>2024</v>
      </c>
      <c r="N700" t="s">
        <v>1074</v>
      </c>
      <c r="O700">
        <v>3</v>
      </c>
    </row>
    <row r="701" spans="1:15" x14ac:dyDescent="0.25">
      <c r="A701" t="s">
        <v>729</v>
      </c>
      <c r="B701" t="s">
        <v>17</v>
      </c>
      <c r="C701">
        <v>84</v>
      </c>
      <c r="D701" t="s">
        <v>9</v>
      </c>
      <c r="E701">
        <v>72</v>
      </c>
      <c r="F701">
        <v>4</v>
      </c>
      <c r="G701" s="8">
        <v>45172</v>
      </c>
      <c r="H701">
        <v>2023</v>
      </c>
      <c r="I701">
        <v>3</v>
      </c>
      <c r="J701">
        <v>9</v>
      </c>
      <c r="K701" t="s">
        <v>1054</v>
      </c>
      <c r="L701" t="s">
        <v>1040</v>
      </c>
      <c r="M701">
        <v>2024</v>
      </c>
      <c r="N701" t="s">
        <v>1074</v>
      </c>
      <c r="O701">
        <v>4</v>
      </c>
    </row>
    <row r="702" spans="1:15" x14ac:dyDescent="0.25">
      <c r="A702" t="s">
        <v>730</v>
      </c>
      <c r="B702" t="s">
        <v>22</v>
      </c>
      <c r="C702">
        <v>111</v>
      </c>
      <c r="D702" t="s">
        <v>9</v>
      </c>
      <c r="E702">
        <v>63</v>
      </c>
      <c r="F702">
        <v>4.5</v>
      </c>
      <c r="G702" s="8">
        <v>45172</v>
      </c>
      <c r="H702">
        <v>2023</v>
      </c>
      <c r="I702">
        <v>3</v>
      </c>
      <c r="J702">
        <v>9</v>
      </c>
      <c r="K702" t="s">
        <v>1054</v>
      </c>
      <c r="L702" t="s">
        <v>1040</v>
      </c>
      <c r="M702">
        <v>2024</v>
      </c>
      <c r="N702" t="s">
        <v>1074</v>
      </c>
      <c r="O702">
        <v>4</v>
      </c>
    </row>
    <row r="703" spans="1:15" x14ac:dyDescent="0.25">
      <c r="A703" t="s">
        <v>731</v>
      </c>
      <c r="B703" t="s">
        <v>22</v>
      </c>
      <c r="C703">
        <v>103</v>
      </c>
      <c r="D703" t="s">
        <v>10</v>
      </c>
      <c r="E703">
        <v>44</v>
      </c>
      <c r="F703">
        <v>4.5</v>
      </c>
      <c r="G703" s="8">
        <v>45173</v>
      </c>
      <c r="H703">
        <v>2023</v>
      </c>
      <c r="I703">
        <v>3</v>
      </c>
      <c r="J703">
        <v>9</v>
      </c>
      <c r="K703" t="s">
        <v>1054</v>
      </c>
      <c r="L703" t="s">
        <v>1041</v>
      </c>
      <c r="M703">
        <v>2024</v>
      </c>
      <c r="N703" t="s">
        <v>1074</v>
      </c>
      <c r="O703">
        <v>4</v>
      </c>
    </row>
    <row r="704" spans="1:15" x14ac:dyDescent="0.25">
      <c r="A704" t="s">
        <v>732</v>
      </c>
      <c r="B704" t="s">
        <v>20</v>
      </c>
      <c r="C704">
        <v>61</v>
      </c>
      <c r="D704" t="s">
        <v>11</v>
      </c>
      <c r="E704">
        <v>132</v>
      </c>
      <c r="F704">
        <v>4.9000000000000004</v>
      </c>
      <c r="G704" s="8">
        <v>45173</v>
      </c>
      <c r="H704">
        <v>2023</v>
      </c>
      <c r="I704">
        <v>3</v>
      </c>
      <c r="J704">
        <v>9</v>
      </c>
      <c r="K704" t="s">
        <v>1054</v>
      </c>
      <c r="L704" t="s">
        <v>1041</v>
      </c>
      <c r="M704">
        <v>2024</v>
      </c>
      <c r="N704" t="s">
        <v>1074</v>
      </c>
      <c r="O704">
        <v>5</v>
      </c>
    </row>
    <row r="705" spans="1:15" x14ac:dyDescent="0.25">
      <c r="A705" t="s">
        <v>733</v>
      </c>
      <c r="B705" t="s">
        <v>16</v>
      </c>
      <c r="C705">
        <v>113</v>
      </c>
      <c r="D705" t="s">
        <v>13</v>
      </c>
      <c r="E705">
        <v>46</v>
      </c>
      <c r="F705">
        <v>4.4000000000000004</v>
      </c>
      <c r="G705" s="8">
        <v>45173</v>
      </c>
      <c r="H705">
        <v>2023</v>
      </c>
      <c r="I705">
        <v>3</v>
      </c>
      <c r="J705">
        <v>9</v>
      </c>
      <c r="K705" t="s">
        <v>1054</v>
      </c>
      <c r="L705" t="s">
        <v>1041</v>
      </c>
      <c r="M705">
        <v>2024</v>
      </c>
      <c r="N705" t="s">
        <v>1074</v>
      </c>
      <c r="O705">
        <v>4</v>
      </c>
    </row>
    <row r="706" spans="1:15" x14ac:dyDescent="0.25">
      <c r="A706" t="s">
        <v>734</v>
      </c>
      <c r="B706" t="s">
        <v>16</v>
      </c>
      <c r="C706">
        <v>96</v>
      </c>
      <c r="D706" t="s">
        <v>13</v>
      </c>
      <c r="E706">
        <v>96</v>
      </c>
      <c r="F706">
        <v>2.9</v>
      </c>
      <c r="G706" s="8">
        <v>45173</v>
      </c>
      <c r="H706">
        <v>2023</v>
      </c>
      <c r="I706">
        <v>3</v>
      </c>
      <c r="J706">
        <v>9</v>
      </c>
      <c r="K706" t="s">
        <v>1054</v>
      </c>
      <c r="L706" t="s">
        <v>1041</v>
      </c>
      <c r="M706">
        <v>2024</v>
      </c>
      <c r="N706" t="s">
        <v>1074</v>
      </c>
      <c r="O706">
        <v>3</v>
      </c>
    </row>
    <row r="707" spans="1:15" x14ac:dyDescent="0.25">
      <c r="A707" t="s">
        <v>735</v>
      </c>
      <c r="B707" t="s">
        <v>24</v>
      </c>
      <c r="C707">
        <v>131</v>
      </c>
      <c r="D707" t="s">
        <v>10</v>
      </c>
      <c r="E707">
        <v>75</v>
      </c>
      <c r="F707">
        <v>4.4000000000000004</v>
      </c>
      <c r="G707" s="8">
        <v>45174</v>
      </c>
      <c r="H707">
        <v>2023</v>
      </c>
      <c r="I707">
        <v>3</v>
      </c>
      <c r="J707">
        <v>9</v>
      </c>
      <c r="K707" t="s">
        <v>1054</v>
      </c>
      <c r="L707" t="s">
        <v>1042</v>
      </c>
      <c r="M707">
        <v>2024</v>
      </c>
      <c r="N707" t="s">
        <v>1075</v>
      </c>
      <c r="O707">
        <v>4</v>
      </c>
    </row>
    <row r="708" spans="1:15" x14ac:dyDescent="0.25">
      <c r="A708" t="s">
        <v>736</v>
      </c>
      <c r="B708" t="s">
        <v>15</v>
      </c>
      <c r="C708">
        <v>52</v>
      </c>
      <c r="D708" t="s">
        <v>13</v>
      </c>
      <c r="E708">
        <v>88</v>
      </c>
      <c r="F708">
        <v>4.3</v>
      </c>
      <c r="G708" s="8">
        <v>45175</v>
      </c>
      <c r="H708">
        <v>2023</v>
      </c>
      <c r="I708">
        <v>3</v>
      </c>
      <c r="J708">
        <v>9</v>
      </c>
      <c r="K708" t="s">
        <v>1054</v>
      </c>
      <c r="L708" t="s">
        <v>1043</v>
      </c>
      <c r="M708">
        <v>2024</v>
      </c>
      <c r="N708" t="s">
        <v>1076</v>
      </c>
      <c r="O708">
        <v>4</v>
      </c>
    </row>
    <row r="709" spans="1:15" x14ac:dyDescent="0.25">
      <c r="A709" t="s">
        <v>737</v>
      </c>
      <c r="B709" t="s">
        <v>12</v>
      </c>
      <c r="C709">
        <v>100</v>
      </c>
      <c r="D709" t="s">
        <v>10</v>
      </c>
      <c r="E709">
        <v>24</v>
      </c>
      <c r="F709">
        <v>4.7</v>
      </c>
      <c r="G709" s="8">
        <v>45175</v>
      </c>
      <c r="H709">
        <v>2023</v>
      </c>
      <c r="I709">
        <v>3</v>
      </c>
      <c r="J709">
        <v>9</v>
      </c>
      <c r="K709" t="s">
        <v>1054</v>
      </c>
      <c r="L709" t="s">
        <v>1043</v>
      </c>
      <c r="M709">
        <v>2024</v>
      </c>
      <c r="N709" t="s">
        <v>1074</v>
      </c>
      <c r="O709">
        <v>5</v>
      </c>
    </row>
    <row r="710" spans="1:15" x14ac:dyDescent="0.25">
      <c r="A710" t="s">
        <v>738</v>
      </c>
      <c r="B710" t="s">
        <v>21</v>
      </c>
      <c r="C710">
        <v>58</v>
      </c>
      <c r="D710" t="s">
        <v>6</v>
      </c>
      <c r="E710">
        <v>96</v>
      </c>
      <c r="F710">
        <v>3.2</v>
      </c>
      <c r="G710" s="8">
        <v>45175</v>
      </c>
      <c r="H710">
        <v>2023</v>
      </c>
      <c r="I710">
        <v>3</v>
      </c>
      <c r="J710">
        <v>9</v>
      </c>
      <c r="K710" t="s">
        <v>1054</v>
      </c>
      <c r="L710" t="s">
        <v>1043</v>
      </c>
      <c r="M710">
        <v>2024</v>
      </c>
      <c r="N710" t="s">
        <v>1076</v>
      </c>
      <c r="O710">
        <v>3</v>
      </c>
    </row>
    <row r="711" spans="1:15" x14ac:dyDescent="0.25">
      <c r="A711" t="s">
        <v>739</v>
      </c>
      <c r="B711" t="s">
        <v>8</v>
      </c>
      <c r="C711">
        <v>144</v>
      </c>
      <c r="D711" t="s">
        <v>6</v>
      </c>
      <c r="E711">
        <v>124</v>
      </c>
      <c r="F711">
        <v>2.2999999999999998</v>
      </c>
      <c r="G711" s="8">
        <v>45176</v>
      </c>
      <c r="H711">
        <v>2023</v>
      </c>
      <c r="I711">
        <v>3</v>
      </c>
      <c r="J711">
        <v>9</v>
      </c>
      <c r="K711" t="s">
        <v>1054</v>
      </c>
      <c r="L711" t="s">
        <v>1044</v>
      </c>
      <c r="M711">
        <v>2024</v>
      </c>
      <c r="N711" t="s">
        <v>1075</v>
      </c>
      <c r="O711">
        <v>2</v>
      </c>
    </row>
    <row r="712" spans="1:15" x14ac:dyDescent="0.25">
      <c r="A712" t="s">
        <v>740</v>
      </c>
      <c r="B712" t="s">
        <v>21</v>
      </c>
      <c r="C712">
        <v>53</v>
      </c>
      <c r="D712" t="s">
        <v>11</v>
      </c>
      <c r="E712">
        <v>130</v>
      </c>
      <c r="F712">
        <v>3.6</v>
      </c>
      <c r="G712" s="8">
        <v>45177</v>
      </c>
      <c r="H712">
        <v>2023</v>
      </c>
      <c r="I712">
        <v>3</v>
      </c>
      <c r="J712">
        <v>9</v>
      </c>
      <c r="K712" t="s">
        <v>1054</v>
      </c>
      <c r="L712" t="s">
        <v>1045</v>
      </c>
      <c r="M712">
        <v>2024</v>
      </c>
      <c r="N712" t="s">
        <v>1076</v>
      </c>
      <c r="O712">
        <v>4</v>
      </c>
    </row>
    <row r="713" spans="1:15" x14ac:dyDescent="0.25">
      <c r="A713" t="s">
        <v>741</v>
      </c>
      <c r="B713" t="s">
        <v>16</v>
      </c>
      <c r="C713">
        <v>97</v>
      </c>
      <c r="D713" t="s">
        <v>9</v>
      </c>
      <c r="E713">
        <v>45</v>
      </c>
      <c r="F713">
        <v>4.5999999999999996</v>
      </c>
      <c r="G713" s="8">
        <v>45177</v>
      </c>
      <c r="H713">
        <v>2023</v>
      </c>
      <c r="I713">
        <v>3</v>
      </c>
      <c r="J713">
        <v>9</v>
      </c>
      <c r="K713" t="s">
        <v>1054</v>
      </c>
      <c r="L713" t="s">
        <v>1045</v>
      </c>
      <c r="M713">
        <v>2024</v>
      </c>
      <c r="N713" t="s">
        <v>1074</v>
      </c>
      <c r="O713">
        <v>5</v>
      </c>
    </row>
    <row r="714" spans="1:15" x14ac:dyDescent="0.25">
      <c r="A714" t="s">
        <v>742</v>
      </c>
      <c r="B714" t="s">
        <v>23</v>
      </c>
      <c r="C714">
        <v>64</v>
      </c>
      <c r="D714" t="s">
        <v>6</v>
      </c>
      <c r="E714">
        <v>66</v>
      </c>
      <c r="F714">
        <v>4</v>
      </c>
      <c r="G714" s="8">
        <v>45177</v>
      </c>
      <c r="H714">
        <v>2023</v>
      </c>
      <c r="I714">
        <v>3</v>
      </c>
      <c r="J714">
        <v>9</v>
      </c>
      <c r="K714" t="s">
        <v>1054</v>
      </c>
      <c r="L714" t="s">
        <v>1045</v>
      </c>
      <c r="M714">
        <v>2024</v>
      </c>
      <c r="N714" t="s">
        <v>1074</v>
      </c>
      <c r="O714">
        <v>4</v>
      </c>
    </row>
    <row r="715" spans="1:15" x14ac:dyDescent="0.25">
      <c r="A715" t="s">
        <v>743</v>
      </c>
      <c r="B715" t="s">
        <v>20</v>
      </c>
      <c r="C715">
        <v>106</v>
      </c>
      <c r="D715" t="s">
        <v>10</v>
      </c>
      <c r="E715">
        <v>58</v>
      </c>
      <c r="F715">
        <v>4.7</v>
      </c>
      <c r="G715" s="8">
        <v>45177</v>
      </c>
      <c r="H715">
        <v>2023</v>
      </c>
      <c r="I715">
        <v>3</v>
      </c>
      <c r="J715">
        <v>9</v>
      </c>
      <c r="K715" t="s">
        <v>1054</v>
      </c>
      <c r="L715" t="s">
        <v>1045</v>
      </c>
      <c r="M715">
        <v>2024</v>
      </c>
      <c r="N715" t="s">
        <v>1074</v>
      </c>
      <c r="O715">
        <v>5</v>
      </c>
    </row>
    <row r="716" spans="1:15" x14ac:dyDescent="0.25">
      <c r="A716" t="s">
        <v>744</v>
      </c>
      <c r="B716" t="s">
        <v>17</v>
      </c>
      <c r="C716">
        <v>36</v>
      </c>
      <c r="D716" t="s">
        <v>6</v>
      </c>
      <c r="E716">
        <v>152</v>
      </c>
      <c r="F716">
        <v>4.3</v>
      </c>
      <c r="G716" s="8">
        <v>45178</v>
      </c>
      <c r="H716">
        <v>2023</v>
      </c>
      <c r="I716">
        <v>3</v>
      </c>
      <c r="J716">
        <v>9</v>
      </c>
      <c r="K716" t="s">
        <v>1054</v>
      </c>
      <c r="L716" t="s">
        <v>1046</v>
      </c>
      <c r="M716">
        <v>2024</v>
      </c>
      <c r="N716" t="s">
        <v>1076</v>
      </c>
      <c r="O716">
        <v>4</v>
      </c>
    </row>
    <row r="717" spans="1:15" x14ac:dyDescent="0.25">
      <c r="A717" t="s">
        <v>745</v>
      </c>
      <c r="B717" t="s">
        <v>8</v>
      </c>
      <c r="C717">
        <v>74</v>
      </c>
      <c r="D717" t="s">
        <v>13</v>
      </c>
      <c r="E717">
        <v>75</v>
      </c>
      <c r="F717">
        <v>2.8</v>
      </c>
      <c r="G717" s="8">
        <v>45178</v>
      </c>
      <c r="H717">
        <v>2023</v>
      </c>
      <c r="I717">
        <v>3</v>
      </c>
      <c r="J717">
        <v>9</v>
      </c>
      <c r="K717" t="s">
        <v>1054</v>
      </c>
      <c r="L717" t="s">
        <v>1046</v>
      </c>
      <c r="M717">
        <v>2024</v>
      </c>
      <c r="N717" t="s">
        <v>1074</v>
      </c>
      <c r="O717">
        <v>3</v>
      </c>
    </row>
    <row r="718" spans="1:15" x14ac:dyDescent="0.25">
      <c r="A718" t="s">
        <v>746</v>
      </c>
      <c r="B718" t="s">
        <v>7</v>
      </c>
      <c r="C718">
        <v>143</v>
      </c>
      <c r="D718" t="s">
        <v>9</v>
      </c>
      <c r="E718">
        <v>78</v>
      </c>
      <c r="F718">
        <v>4</v>
      </c>
      <c r="G718" s="8">
        <v>45178</v>
      </c>
      <c r="H718">
        <v>2023</v>
      </c>
      <c r="I718">
        <v>3</v>
      </c>
      <c r="J718">
        <v>9</v>
      </c>
      <c r="K718" t="s">
        <v>1054</v>
      </c>
      <c r="L718" t="s">
        <v>1046</v>
      </c>
      <c r="M718">
        <v>2024</v>
      </c>
      <c r="N718" t="s">
        <v>1075</v>
      </c>
      <c r="O718">
        <v>4</v>
      </c>
    </row>
    <row r="719" spans="1:15" x14ac:dyDescent="0.25">
      <c r="A719" t="s">
        <v>747</v>
      </c>
      <c r="B719" t="s">
        <v>20</v>
      </c>
      <c r="C719">
        <v>94</v>
      </c>
      <c r="D719" t="s">
        <v>11</v>
      </c>
      <c r="E719">
        <v>69</v>
      </c>
      <c r="F719">
        <v>3.9</v>
      </c>
      <c r="G719" s="8">
        <v>45178</v>
      </c>
      <c r="H719">
        <v>2023</v>
      </c>
      <c r="I719">
        <v>3</v>
      </c>
      <c r="J719">
        <v>9</v>
      </c>
      <c r="K719" t="s">
        <v>1054</v>
      </c>
      <c r="L719" t="s">
        <v>1046</v>
      </c>
      <c r="M719">
        <v>2024</v>
      </c>
      <c r="N719" t="s">
        <v>1074</v>
      </c>
      <c r="O719">
        <v>4</v>
      </c>
    </row>
    <row r="720" spans="1:15" x14ac:dyDescent="0.25">
      <c r="A720" t="s">
        <v>748</v>
      </c>
      <c r="B720" t="s">
        <v>19</v>
      </c>
      <c r="C720">
        <v>124</v>
      </c>
      <c r="D720" t="s">
        <v>10</v>
      </c>
      <c r="E720">
        <v>46</v>
      </c>
      <c r="F720">
        <v>3.1</v>
      </c>
      <c r="G720" s="8">
        <v>45179</v>
      </c>
      <c r="H720">
        <v>2023</v>
      </c>
      <c r="I720">
        <v>3</v>
      </c>
      <c r="J720">
        <v>9</v>
      </c>
      <c r="K720" t="s">
        <v>1054</v>
      </c>
      <c r="L720" t="s">
        <v>1040</v>
      </c>
      <c r="M720">
        <v>2024</v>
      </c>
      <c r="N720" t="s">
        <v>1075</v>
      </c>
      <c r="O720">
        <v>3</v>
      </c>
    </row>
    <row r="721" spans="1:15" x14ac:dyDescent="0.25">
      <c r="A721" t="s">
        <v>749</v>
      </c>
      <c r="B721" t="s">
        <v>17</v>
      </c>
      <c r="C721">
        <v>156</v>
      </c>
      <c r="D721" t="s">
        <v>6</v>
      </c>
      <c r="E721">
        <v>64</v>
      </c>
      <c r="F721">
        <v>2.7</v>
      </c>
      <c r="G721" s="8">
        <v>45179</v>
      </c>
      <c r="H721">
        <v>2023</v>
      </c>
      <c r="I721">
        <v>3</v>
      </c>
      <c r="J721">
        <v>9</v>
      </c>
      <c r="K721" t="s">
        <v>1054</v>
      </c>
      <c r="L721" t="s">
        <v>1040</v>
      </c>
      <c r="M721">
        <v>2024</v>
      </c>
      <c r="N721" t="s">
        <v>1075</v>
      </c>
      <c r="O721">
        <v>3</v>
      </c>
    </row>
    <row r="722" spans="1:15" x14ac:dyDescent="0.25">
      <c r="A722" t="s">
        <v>750</v>
      </c>
      <c r="B722" t="s">
        <v>18</v>
      </c>
      <c r="C722">
        <v>107</v>
      </c>
      <c r="D722" t="s">
        <v>9</v>
      </c>
      <c r="E722">
        <v>38</v>
      </c>
      <c r="F722">
        <v>4.7</v>
      </c>
      <c r="G722" s="8">
        <v>45179</v>
      </c>
      <c r="H722">
        <v>2023</v>
      </c>
      <c r="I722">
        <v>3</v>
      </c>
      <c r="J722">
        <v>9</v>
      </c>
      <c r="K722" t="s">
        <v>1054</v>
      </c>
      <c r="L722" t="s">
        <v>1040</v>
      </c>
      <c r="M722">
        <v>2024</v>
      </c>
      <c r="N722" t="s">
        <v>1074</v>
      </c>
      <c r="O722">
        <v>5</v>
      </c>
    </row>
    <row r="723" spans="1:15" x14ac:dyDescent="0.25">
      <c r="A723" t="s">
        <v>751</v>
      </c>
      <c r="B723" t="s">
        <v>20</v>
      </c>
      <c r="C723">
        <v>58</v>
      </c>
      <c r="D723" t="s">
        <v>9</v>
      </c>
      <c r="E723">
        <v>90</v>
      </c>
      <c r="F723">
        <v>4.3</v>
      </c>
      <c r="G723" s="8">
        <v>45181</v>
      </c>
      <c r="H723">
        <v>2023</v>
      </c>
      <c r="I723">
        <v>3</v>
      </c>
      <c r="J723">
        <v>9</v>
      </c>
      <c r="K723" t="s">
        <v>1054</v>
      </c>
      <c r="L723" t="s">
        <v>1042</v>
      </c>
      <c r="M723">
        <v>2024</v>
      </c>
      <c r="N723" t="s">
        <v>1076</v>
      </c>
      <c r="O723">
        <v>4</v>
      </c>
    </row>
    <row r="724" spans="1:15" x14ac:dyDescent="0.25">
      <c r="A724" t="s">
        <v>752</v>
      </c>
      <c r="B724" t="s">
        <v>14</v>
      </c>
      <c r="C724">
        <v>66</v>
      </c>
      <c r="D724" t="s">
        <v>9</v>
      </c>
      <c r="E724">
        <v>32</v>
      </c>
      <c r="F724">
        <v>3.8</v>
      </c>
      <c r="G724" s="8">
        <v>45181</v>
      </c>
      <c r="H724">
        <v>2023</v>
      </c>
      <c r="I724">
        <v>3</v>
      </c>
      <c r="J724">
        <v>9</v>
      </c>
      <c r="K724" t="s">
        <v>1054</v>
      </c>
      <c r="L724" t="s">
        <v>1042</v>
      </c>
      <c r="M724">
        <v>2024</v>
      </c>
      <c r="N724" t="s">
        <v>1074</v>
      </c>
      <c r="O724">
        <v>4</v>
      </c>
    </row>
    <row r="725" spans="1:15" x14ac:dyDescent="0.25">
      <c r="A725" t="s">
        <v>753</v>
      </c>
      <c r="B725" t="s">
        <v>24</v>
      </c>
      <c r="C725">
        <v>75</v>
      </c>
      <c r="D725" t="s">
        <v>6</v>
      </c>
      <c r="E725">
        <v>120</v>
      </c>
      <c r="F725">
        <v>4.4000000000000004</v>
      </c>
      <c r="G725" s="8">
        <v>45181</v>
      </c>
      <c r="H725">
        <v>2023</v>
      </c>
      <c r="I725">
        <v>3</v>
      </c>
      <c r="J725">
        <v>9</v>
      </c>
      <c r="K725" t="s">
        <v>1054</v>
      </c>
      <c r="L725" t="s">
        <v>1042</v>
      </c>
      <c r="M725">
        <v>2024</v>
      </c>
      <c r="N725" t="s">
        <v>1074</v>
      </c>
      <c r="O725">
        <v>4</v>
      </c>
    </row>
    <row r="726" spans="1:15" x14ac:dyDescent="0.25">
      <c r="A726" t="s">
        <v>754</v>
      </c>
      <c r="B726" t="s">
        <v>18</v>
      </c>
      <c r="C726">
        <v>8</v>
      </c>
      <c r="D726" t="s">
        <v>9</v>
      </c>
      <c r="E726">
        <v>31</v>
      </c>
      <c r="F726">
        <v>3.9</v>
      </c>
      <c r="G726" s="8">
        <v>45181</v>
      </c>
      <c r="H726">
        <v>2023</v>
      </c>
      <c r="I726">
        <v>3</v>
      </c>
      <c r="J726">
        <v>9</v>
      </c>
      <c r="K726" t="s">
        <v>1054</v>
      </c>
      <c r="L726" t="s">
        <v>1042</v>
      </c>
      <c r="M726">
        <v>2024</v>
      </c>
      <c r="N726" t="s">
        <v>1078</v>
      </c>
      <c r="O726">
        <v>4</v>
      </c>
    </row>
    <row r="727" spans="1:15" x14ac:dyDescent="0.25">
      <c r="A727" t="s">
        <v>755</v>
      </c>
      <c r="B727" t="s">
        <v>23</v>
      </c>
      <c r="C727">
        <v>76</v>
      </c>
      <c r="D727" t="s">
        <v>6</v>
      </c>
      <c r="E727">
        <v>108</v>
      </c>
      <c r="F727">
        <v>4.9000000000000004</v>
      </c>
      <c r="G727" s="8">
        <v>45182</v>
      </c>
      <c r="H727">
        <v>2023</v>
      </c>
      <c r="I727">
        <v>3</v>
      </c>
      <c r="J727">
        <v>9</v>
      </c>
      <c r="K727" t="s">
        <v>1054</v>
      </c>
      <c r="L727" t="s">
        <v>1043</v>
      </c>
      <c r="M727">
        <v>2024</v>
      </c>
      <c r="N727" t="s">
        <v>1074</v>
      </c>
      <c r="O727">
        <v>5</v>
      </c>
    </row>
    <row r="728" spans="1:15" x14ac:dyDescent="0.25">
      <c r="A728" t="s">
        <v>756</v>
      </c>
      <c r="B728" t="s">
        <v>20</v>
      </c>
      <c r="C728">
        <v>110</v>
      </c>
      <c r="D728" t="s">
        <v>6</v>
      </c>
      <c r="E728">
        <v>180</v>
      </c>
      <c r="F728">
        <v>4.2</v>
      </c>
      <c r="G728" s="8">
        <v>45182</v>
      </c>
      <c r="H728">
        <v>2023</v>
      </c>
      <c r="I728">
        <v>3</v>
      </c>
      <c r="J728">
        <v>9</v>
      </c>
      <c r="K728" t="s">
        <v>1054</v>
      </c>
      <c r="L728" t="s">
        <v>1043</v>
      </c>
      <c r="M728">
        <v>2024</v>
      </c>
      <c r="N728" t="s">
        <v>1074</v>
      </c>
      <c r="O728">
        <v>4</v>
      </c>
    </row>
    <row r="729" spans="1:15" x14ac:dyDescent="0.25">
      <c r="A729" t="s">
        <v>757</v>
      </c>
      <c r="B729" t="s">
        <v>14</v>
      </c>
      <c r="C729">
        <v>50</v>
      </c>
      <c r="D729" t="s">
        <v>11</v>
      </c>
      <c r="E729">
        <v>124</v>
      </c>
      <c r="F729">
        <v>4</v>
      </c>
      <c r="G729" s="8">
        <v>45183</v>
      </c>
      <c r="H729">
        <v>2023</v>
      </c>
      <c r="I729">
        <v>3</v>
      </c>
      <c r="J729">
        <v>9</v>
      </c>
      <c r="K729" t="s">
        <v>1054</v>
      </c>
      <c r="L729" t="s">
        <v>1044</v>
      </c>
      <c r="M729">
        <v>2024</v>
      </c>
      <c r="N729" t="s">
        <v>1076</v>
      </c>
      <c r="O729">
        <v>4</v>
      </c>
    </row>
    <row r="730" spans="1:15" x14ac:dyDescent="0.25">
      <c r="A730" t="s">
        <v>758</v>
      </c>
      <c r="B730" t="s">
        <v>15</v>
      </c>
      <c r="C730">
        <v>78</v>
      </c>
      <c r="D730" t="s">
        <v>11</v>
      </c>
      <c r="E730">
        <v>23</v>
      </c>
      <c r="F730">
        <v>4.2</v>
      </c>
      <c r="G730" s="8">
        <v>45183</v>
      </c>
      <c r="H730">
        <v>2023</v>
      </c>
      <c r="I730">
        <v>3</v>
      </c>
      <c r="J730">
        <v>9</v>
      </c>
      <c r="K730" t="s">
        <v>1054</v>
      </c>
      <c r="L730" t="s">
        <v>1044</v>
      </c>
      <c r="M730">
        <v>2024</v>
      </c>
      <c r="N730" t="s">
        <v>1074</v>
      </c>
      <c r="O730">
        <v>4</v>
      </c>
    </row>
    <row r="731" spans="1:15" x14ac:dyDescent="0.25">
      <c r="A731" t="s">
        <v>759</v>
      </c>
      <c r="B731" t="s">
        <v>16</v>
      </c>
      <c r="C731">
        <v>59</v>
      </c>
      <c r="D731" t="s">
        <v>10</v>
      </c>
      <c r="E731">
        <v>24</v>
      </c>
      <c r="F731">
        <v>4.8</v>
      </c>
      <c r="G731" s="8">
        <v>45184</v>
      </c>
      <c r="H731">
        <v>2023</v>
      </c>
      <c r="I731">
        <v>3</v>
      </c>
      <c r="J731">
        <v>9</v>
      </c>
      <c r="K731" t="s">
        <v>1054</v>
      </c>
      <c r="L731" t="s">
        <v>1045</v>
      </c>
      <c r="M731">
        <v>2024</v>
      </c>
      <c r="N731" t="s">
        <v>1076</v>
      </c>
      <c r="O731">
        <v>5</v>
      </c>
    </row>
    <row r="732" spans="1:15" x14ac:dyDescent="0.25">
      <c r="A732" t="s">
        <v>760</v>
      </c>
      <c r="B732" t="s">
        <v>15</v>
      </c>
      <c r="C732">
        <v>126</v>
      </c>
      <c r="D732" t="s">
        <v>9</v>
      </c>
      <c r="E732">
        <v>52</v>
      </c>
      <c r="F732">
        <v>1.1000000000000001</v>
      </c>
      <c r="G732" s="8">
        <v>45185</v>
      </c>
      <c r="H732">
        <v>2023</v>
      </c>
      <c r="I732">
        <v>3</v>
      </c>
      <c r="J732">
        <v>9</v>
      </c>
      <c r="K732" t="s">
        <v>1054</v>
      </c>
      <c r="L732" t="s">
        <v>1046</v>
      </c>
      <c r="M732">
        <v>2024</v>
      </c>
      <c r="N732" t="s">
        <v>1075</v>
      </c>
      <c r="O732">
        <v>1</v>
      </c>
    </row>
    <row r="733" spans="1:15" x14ac:dyDescent="0.25">
      <c r="A733" t="s">
        <v>761</v>
      </c>
      <c r="B733" t="s">
        <v>23</v>
      </c>
      <c r="C733">
        <v>43</v>
      </c>
      <c r="D733" t="s">
        <v>10</v>
      </c>
      <c r="E733">
        <v>168</v>
      </c>
      <c r="F733">
        <v>4</v>
      </c>
      <c r="G733" s="8">
        <v>45186</v>
      </c>
      <c r="H733">
        <v>2023</v>
      </c>
      <c r="I733">
        <v>3</v>
      </c>
      <c r="J733">
        <v>9</v>
      </c>
      <c r="K733" t="s">
        <v>1054</v>
      </c>
      <c r="L733" t="s">
        <v>1040</v>
      </c>
      <c r="M733">
        <v>2024</v>
      </c>
      <c r="N733" t="s">
        <v>1076</v>
      </c>
      <c r="O733">
        <v>4</v>
      </c>
    </row>
    <row r="734" spans="1:15" x14ac:dyDescent="0.25">
      <c r="A734" t="s">
        <v>762</v>
      </c>
      <c r="B734" t="s">
        <v>17</v>
      </c>
      <c r="C734">
        <v>79</v>
      </c>
      <c r="D734" t="s">
        <v>6</v>
      </c>
      <c r="E734">
        <v>125</v>
      </c>
      <c r="F734">
        <v>4.8</v>
      </c>
      <c r="G734" s="8">
        <v>45188</v>
      </c>
      <c r="H734">
        <v>2023</v>
      </c>
      <c r="I734">
        <v>3</v>
      </c>
      <c r="J734">
        <v>9</v>
      </c>
      <c r="K734" t="s">
        <v>1054</v>
      </c>
      <c r="L734" t="s">
        <v>1042</v>
      </c>
      <c r="M734">
        <v>2024</v>
      </c>
      <c r="N734" t="s">
        <v>1074</v>
      </c>
      <c r="O734">
        <v>5</v>
      </c>
    </row>
    <row r="735" spans="1:15" x14ac:dyDescent="0.25">
      <c r="A735" t="s">
        <v>763</v>
      </c>
      <c r="B735" t="s">
        <v>20</v>
      </c>
      <c r="C735">
        <v>71</v>
      </c>
      <c r="D735" t="s">
        <v>10</v>
      </c>
      <c r="E735">
        <v>50</v>
      </c>
      <c r="F735">
        <v>4.2</v>
      </c>
      <c r="G735" s="8">
        <v>45189</v>
      </c>
      <c r="H735">
        <v>2023</v>
      </c>
      <c r="I735">
        <v>3</v>
      </c>
      <c r="J735">
        <v>9</v>
      </c>
      <c r="K735" t="s">
        <v>1054</v>
      </c>
      <c r="L735" t="s">
        <v>1043</v>
      </c>
      <c r="M735">
        <v>2024</v>
      </c>
      <c r="N735" t="s">
        <v>1074</v>
      </c>
      <c r="O735">
        <v>4</v>
      </c>
    </row>
    <row r="736" spans="1:15" x14ac:dyDescent="0.25">
      <c r="A736" t="s">
        <v>764</v>
      </c>
      <c r="B736" t="s">
        <v>22</v>
      </c>
      <c r="C736">
        <v>94</v>
      </c>
      <c r="D736" t="s">
        <v>9</v>
      </c>
      <c r="E736">
        <v>220</v>
      </c>
      <c r="F736">
        <v>4.5999999999999996</v>
      </c>
      <c r="G736" s="8">
        <v>45190</v>
      </c>
      <c r="H736">
        <v>2023</v>
      </c>
      <c r="I736">
        <v>3</v>
      </c>
      <c r="J736">
        <v>9</v>
      </c>
      <c r="K736" t="s">
        <v>1054</v>
      </c>
      <c r="L736" t="s">
        <v>1044</v>
      </c>
      <c r="M736">
        <v>2024</v>
      </c>
      <c r="N736" t="s">
        <v>1074</v>
      </c>
      <c r="O736">
        <v>5</v>
      </c>
    </row>
    <row r="737" spans="1:15" x14ac:dyDescent="0.25">
      <c r="A737" t="s">
        <v>765</v>
      </c>
      <c r="B737" t="s">
        <v>18</v>
      </c>
      <c r="C737">
        <v>108</v>
      </c>
      <c r="D737" t="s">
        <v>10</v>
      </c>
      <c r="E737">
        <v>180</v>
      </c>
      <c r="F737">
        <v>4</v>
      </c>
      <c r="G737" s="8">
        <v>45190</v>
      </c>
      <c r="H737">
        <v>2023</v>
      </c>
      <c r="I737">
        <v>3</v>
      </c>
      <c r="J737">
        <v>9</v>
      </c>
      <c r="K737" t="s">
        <v>1054</v>
      </c>
      <c r="L737" t="s">
        <v>1044</v>
      </c>
      <c r="M737">
        <v>2024</v>
      </c>
      <c r="N737" t="s">
        <v>1074</v>
      </c>
      <c r="O737">
        <v>4</v>
      </c>
    </row>
    <row r="738" spans="1:15" x14ac:dyDescent="0.25">
      <c r="A738" t="s">
        <v>766</v>
      </c>
      <c r="B738" t="s">
        <v>23</v>
      </c>
      <c r="C738">
        <v>76</v>
      </c>
      <c r="D738" t="s">
        <v>9</v>
      </c>
      <c r="E738">
        <v>110</v>
      </c>
      <c r="F738">
        <v>3.9</v>
      </c>
      <c r="G738" s="8">
        <v>45190</v>
      </c>
      <c r="H738">
        <v>2023</v>
      </c>
      <c r="I738">
        <v>3</v>
      </c>
      <c r="J738">
        <v>9</v>
      </c>
      <c r="K738" t="s">
        <v>1054</v>
      </c>
      <c r="L738" t="s">
        <v>1044</v>
      </c>
      <c r="M738">
        <v>2024</v>
      </c>
      <c r="N738" t="s">
        <v>1074</v>
      </c>
      <c r="O738">
        <v>4</v>
      </c>
    </row>
    <row r="739" spans="1:15" x14ac:dyDescent="0.25">
      <c r="A739" t="s">
        <v>767</v>
      </c>
      <c r="B739" t="s">
        <v>16</v>
      </c>
      <c r="C739">
        <v>136</v>
      </c>
      <c r="D739" t="s">
        <v>10</v>
      </c>
      <c r="E739">
        <v>36</v>
      </c>
      <c r="F739">
        <v>2.8</v>
      </c>
      <c r="G739" s="8">
        <v>45190</v>
      </c>
      <c r="H739">
        <v>2023</v>
      </c>
      <c r="I739">
        <v>3</v>
      </c>
      <c r="J739">
        <v>9</v>
      </c>
      <c r="K739" t="s">
        <v>1054</v>
      </c>
      <c r="L739" t="s">
        <v>1044</v>
      </c>
      <c r="M739">
        <v>2024</v>
      </c>
      <c r="N739" t="s">
        <v>1075</v>
      </c>
      <c r="O739">
        <v>3</v>
      </c>
    </row>
    <row r="740" spans="1:15" x14ac:dyDescent="0.25">
      <c r="A740" t="s">
        <v>768</v>
      </c>
      <c r="B740" t="s">
        <v>12</v>
      </c>
      <c r="C740">
        <v>129</v>
      </c>
      <c r="D740" t="s">
        <v>11</v>
      </c>
      <c r="E740">
        <v>93</v>
      </c>
      <c r="F740">
        <v>4.7</v>
      </c>
      <c r="G740" s="8">
        <v>45191</v>
      </c>
      <c r="H740">
        <v>2023</v>
      </c>
      <c r="I740">
        <v>3</v>
      </c>
      <c r="J740">
        <v>9</v>
      </c>
      <c r="K740" t="s">
        <v>1054</v>
      </c>
      <c r="L740" t="s">
        <v>1045</v>
      </c>
      <c r="M740">
        <v>2024</v>
      </c>
      <c r="N740" t="s">
        <v>1075</v>
      </c>
      <c r="O740">
        <v>5</v>
      </c>
    </row>
    <row r="741" spans="1:15" x14ac:dyDescent="0.25">
      <c r="A741" t="s">
        <v>769</v>
      </c>
      <c r="B741" t="s">
        <v>18</v>
      </c>
      <c r="C741">
        <v>120</v>
      </c>
      <c r="D741" t="s">
        <v>10</v>
      </c>
      <c r="E741">
        <v>38</v>
      </c>
      <c r="F741">
        <v>4.2</v>
      </c>
      <c r="G741" s="8">
        <v>45191</v>
      </c>
      <c r="H741">
        <v>2023</v>
      </c>
      <c r="I741">
        <v>3</v>
      </c>
      <c r="J741">
        <v>9</v>
      </c>
      <c r="K741" t="s">
        <v>1054</v>
      </c>
      <c r="L741" t="s">
        <v>1045</v>
      </c>
      <c r="M741">
        <v>2024</v>
      </c>
      <c r="N741" t="s">
        <v>1074</v>
      </c>
      <c r="O741">
        <v>4</v>
      </c>
    </row>
    <row r="742" spans="1:15" x14ac:dyDescent="0.25">
      <c r="A742" t="s">
        <v>770</v>
      </c>
      <c r="B742" t="s">
        <v>23</v>
      </c>
      <c r="C742">
        <v>108</v>
      </c>
      <c r="D742" t="s">
        <v>11</v>
      </c>
      <c r="E742">
        <v>66</v>
      </c>
      <c r="F742">
        <v>3.9</v>
      </c>
      <c r="G742" s="8">
        <v>45192</v>
      </c>
      <c r="H742">
        <v>2023</v>
      </c>
      <c r="I742">
        <v>3</v>
      </c>
      <c r="J742">
        <v>9</v>
      </c>
      <c r="K742" t="s">
        <v>1054</v>
      </c>
      <c r="L742" t="s">
        <v>1046</v>
      </c>
      <c r="M742">
        <v>2024</v>
      </c>
      <c r="N742" t="s">
        <v>1074</v>
      </c>
      <c r="O742">
        <v>4</v>
      </c>
    </row>
    <row r="743" spans="1:15" x14ac:dyDescent="0.25">
      <c r="A743" t="s">
        <v>771</v>
      </c>
      <c r="B743" t="s">
        <v>15</v>
      </c>
      <c r="C743">
        <v>79</v>
      </c>
      <c r="D743" t="s">
        <v>10</v>
      </c>
      <c r="E743">
        <v>215</v>
      </c>
      <c r="F743">
        <v>4.5999999999999996</v>
      </c>
      <c r="G743" s="8">
        <v>45192</v>
      </c>
      <c r="H743">
        <v>2023</v>
      </c>
      <c r="I743">
        <v>3</v>
      </c>
      <c r="J743">
        <v>9</v>
      </c>
      <c r="K743" t="s">
        <v>1054</v>
      </c>
      <c r="L743" t="s">
        <v>1046</v>
      </c>
      <c r="M743">
        <v>2024</v>
      </c>
      <c r="N743" t="s">
        <v>1074</v>
      </c>
      <c r="O743">
        <v>5</v>
      </c>
    </row>
    <row r="744" spans="1:15" x14ac:dyDescent="0.25">
      <c r="A744" t="s">
        <v>772</v>
      </c>
      <c r="B744" t="s">
        <v>15</v>
      </c>
      <c r="C744">
        <v>45</v>
      </c>
      <c r="D744" t="s">
        <v>11</v>
      </c>
      <c r="E744">
        <v>92</v>
      </c>
      <c r="F744">
        <v>4.3</v>
      </c>
      <c r="G744" s="8">
        <v>45192</v>
      </c>
      <c r="H744">
        <v>2023</v>
      </c>
      <c r="I744">
        <v>3</v>
      </c>
      <c r="J744">
        <v>9</v>
      </c>
      <c r="K744" t="s">
        <v>1054</v>
      </c>
      <c r="L744" t="s">
        <v>1046</v>
      </c>
      <c r="M744">
        <v>2024</v>
      </c>
      <c r="N744" t="s">
        <v>1076</v>
      </c>
      <c r="O744">
        <v>4</v>
      </c>
    </row>
    <row r="745" spans="1:15" x14ac:dyDescent="0.25">
      <c r="A745" t="s">
        <v>773</v>
      </c>
      <c r="B745" t="s">
        <v>8</v>
      </c>
      <c r="C745">
        <v>96</v>
      </c>
      <c r="D745" t="s">
        <v>10</v>
      </c>
      <c r="E745">
        <v>80</v>
      </c>
      <c r="F745">
        <v>3.6</v>
      </c>
      <c r="G745" s="8">
        <v>45192</v>
      </c>
      <c r="H745">
        <v>2023</v>
      </c>
      <c r="I745">
        <v>3</v>
      </c>
      <c r="J745">
        <v>9</v>
      </c>
      <c r="K745" t="s">
        <v>1054</v>
      </c>
      <c r="L745" t="s">
        <v>1046</v>
      </c>
      <c r="M745">
        <v>2024</v>
      </c>
      <c r="N745" t="s">
        <v>1074</v>
      </c>
      <c r="O745">
        <v>4</v>
      </c>
    </row>
    <row r="746" spans="1:15" x14ac:dyDescent="0.25">
      <c r="A746" t="s">
        <v>774</v>
      </c>
      <c r="B746" t="s">
        <v>8</v>
      </c>
      <c r="C746">
        <v>81</v>
      </c>
      <c r="D746" t="s">
        <v>10</v>
      </c>
      <c r="E746">
        <v>123</v>
      </c>
      <c r="F746">
        <v>4.9000000000000004</v>
      </c>
      <c r="G746" s="8">
        <v>45193</v>
      </c>
      <c r="H746">
        <v>2023</v>
      </c>
      <c r="I746">
        <v>3</v>
      </c>
      <c r="J746">
        <v>9</v>
      </c>
      <c r="K746" t="s">
        <v>1054</v>
      </c>
      <c r="L746" t="s">
        <v>1040</v>
      </c>
      <c r="M746">
        <v>2024</v>
      </c>
      <c r="N746" t="s">
        <v>1074</v>
      </c>
      <c r="O746">
        <v>5</v>
      </c>
    </row>
    <row r="747" spans="1:15" x14ac:dyDescent="0.25">
      <c r="A747" t="s">
        <v>775</v>
      </c>
      <c r="B747" t="s">
        <v>16</v>
      </c>
      <c r="C747">
        <v>95</v>
      </c>
      <c r="D747" t="s">
        <v>13</v>
      </c>
      <c r="E747">
        <v>23</v>
      </c>
      <c r="F747">
        <v>2.4</v>
      </c>
      <c r="G747" s="8">
        <v>45193</v>
      </c>
      <c r="H747">
        <v>2023</v>
      </c>
      <c r="I747">
        <v>3</v>
      </c>
      <c r="J747">
        <v>9</v>
      </c>
      <c r="K747" t="s">
        <v>1054</v>
      </c>
      <c r="L747" t="s">
        <v>1040</v>
      </c>
      <c r="M747">
        <v>2024</v>
      </c>
      <c r="N747" t="s">
        <v>1074</v>
      </c>
      <c r="O747">
        <v>2</v>
      </c>
    </row>
    <row r="748" spans="1:15" x14ac:dyDescent="0.25">
      <c r="A748" t="s">
        <v>776</v>
      </c>
      <c r="B748" t="s">
        <v>19</v>
      </c>
      <c r="C748">
        <v>159</v>
      </c>
      <c r="D748" t="s">
        <v>9</v>
      </c>
      <c r="E748">
        <v>63</v>
      </c>
      <c r="F748">
        <v>4.2</v>
      </c>
      <c r="G748" s="8">
        <v>45193</v>
      </c>
      <c r="H748">
        <v>2023</v>
      </c>
      <c r="I748">
        <v>3</v>
      </c>
      <c r="J748">
        <v>9</v>
      </c>
      <c r="K748" t="s">
        <v>1054</v>
      </c>
      <c r="L748" t="s">
        <v>1040</v>
      </c>
      <c r="M748">
        <v>2024</v>
      </c>
      <c r="N748" t="s">
        <v>1075</v>
      </c>
      <c r="O748">
        <v>4</v>
      </c>
    </row>
    <row r="749" spans="1:15" x14ac:dyDescent="0.25">
      <c r="A749" t="s">
        <v>777</v>
      </c>
      <c r="B749" t="s">
        <v>5</v>
      </c>
      <c r="C749">
        <v>109</v>
      </c>
      <c r="D749" t="s">
        <v>6</v>
      </c>
      <c r="E749">
        <v>52</v>
      </c>
      <c r="F749">
        <v>3.9</v>
      </c>
      <c r="G749" s="8">
        <v>45193</v>
      </c>
      <c r="H749">
        <v>2023</v>
      </c>
      <c r="I749">
        <v>3</v>
      </c>
      <c r="J749">
        <v>9</v>
      </c>
      <c r="K749" t="s">
        <v>1054</v>
      </c>
      <c r="L749" t="s">
        <v>1040</v>
      </c>
      <c r="M749">
        <v>2024</v>
      </c>
      <c r="N749" t="s">
        <v>1074</v>
      </c>
      <c r="O749">
        <v>4</v>
      </c>
    </row>
    <row r="750" spans="1:15" x14ac:dyDescent="0.25">
      <c r="A750" t="s">
        <v>778</v>
      </c>
      <c r="B750" t="s">
        <v>15</v>
      </c>
      <c r="C750">
        <v>107</v>
      </c>
      <c r="D750" t="s">
        <v>6</v>
      </c>
      <c r="E750">
        <v>60</v>
      </c>
      <c r="F750">
        <v>4.2</v>
      </c>
      <c r="G750" s="8">
        <v>45193</v>
      </c>
      <c r="H750">
        <v>2023</v>
      </c>
      <c r="I750">
        <v>3</v>
      </c>
      <c r="J750">
        <v>9</v>
      </c>
      <c r="K750" t="s">
        <v>1054</v>
      </c>
      <c r="L750" t="s">
        <v>1040</v>
      </c>
      <c r="M750">
        <v>2024</v>
      </c>
      <c r="N750" t="s">
        <v>1074</v>
      </c>
      <c r="O750">
        <v>4</v>
      </c>
    </row>
    <row r="751" spans="1:15" x14ac:dyDescent="0.25">
      <c r="A751" t="s">
        <v>779</v>
      </c>
      <c r="B751" t="s">
        <v>8</v>
      </c>
      <c r="C751">
        <v>67</v>
      </c>
      <c r="D751" t="s">
        <v>11</v>
      </c>
      <c r="E751">
        <v>87</v>
      </c>
      <c r="F751">
        <v>3.9</v>
      </c>
      <c r="G751" s="8">
        <v>45194</v>
      </c>
      <c r="H751">
        <v>2023</v>
      </c>
      <c r="I751">
        <v>3</v>
      </c>
      <c r="J751">
        <v>9</v>
      </c>
      <c r="K751" t="s">
        <v>1054</v>
      </c>
      <c r="L751" t="s">
        <v>1041</v>
      </c>
      <c r="M751">
        <v>2024</v>
      </c>
      <c r="N751" t="s">
        <v>1074</v>
      </c>
      <c r="O751">
        <v>4</v>
      </c>
    </row>
    <row r="752" spans="1:15" x14ac:dyDescent="0.25">
      <c r="A752" t="s">
        <v>780</v>
      </c>
      <c r="B752" t="s">
        <v>24</v>
      </c>
      <c r="C752">
        <v>96</v>
      </c>
      <c r="D752" t="s">
        <v>10</v>
      </c>
      <c r="E752">
        <v>42</v>
      </c>
      <c r="F752">
        <v>4.5</v>
      </c>
      <c r="G752" s="8">
        <v>45195</v>
      </c>
      <c r="H752">
        <v>2023</v>
      </c>
      <c r="I752">
        <v>3</v>
      </c>
      <c r="J752">
        <v>9</v>
      </c>
      <c r="K752" t="s">
        <v>1054</v>
      </c>
      <c r="L752" t="s">
        <v>1042</v>
      </c>
      <c r="M752">
        <v>2024</v>
      </c>
      <c r="N752" t="s">
        <v>1074</v>
      </c>
      <c r="O752">
        <v>4</v>
      </c>
    </row>
    <row r="753" spans="1:15" x14ac:dyDescent="0.25">
      <c r="A753" t="s">
        <v>781</v>
      </c>
      <c r="B753" t="s">
        <v>7</v>
      </c>
      <c r="C753">
        <v>142</v>
      </c>
      <c r="D753" t="s">
        <v>9</v>
      </c>
      <c r="E753">
        <v>37</v>
      </c>
      <c r="F753">
        <v>3.8</v>
      </c>
      <c r="G753" s="8">
        <v>45196</v>
      </c>
      <c r="H753">
        <v>2023</v>
      </c>
      <c r="I753">
        <v>3</v>
      </c>
      <c r="J753">
        <v>9</v>
      </c>
      <c r="K753" t="s">
        <v>1054</v>
      </c>
      <c r="L753" t="s">
        <v>1043</v>
      </c>
      <c r="M753">
        <v>2024</v>
      </c>
      <c r="N753" t="s">
        <v>1075</v>
      </c>
      <c r="O753">
        <v>4</v>
      </c>
    </row>
    <row r="754" spans="1:15" x14ac:dyDescent="0.25">
      <c r="A754" t="s">
        <v>782</v>
      </c>
      <c r="B754" t="s">
        <v>7</v>
      </c>
      <c r="C754">
        <v>71</v>
      </c>
      <c r="D754" t="s">
        <v>13</v>
      </c>
      <c r="E754">
        <v>135</v>
      </c>
      <c r="F754">
        <v>3.9</v>
      </c>
      <c r="G754" s="8">
        <v>45196</v>
      </c>
      <c r="H754">
        <v>2023</v>
      </c>
      <c r="I754">
        <v>3</v>
      </c>
      <c r="J754">
        <v>9</v>
      </c>
      <c r="K754" t="s">
        <v>1054</v>
      </c>
      <c r="L754" t="s">
        <v>1043</v>
      </c>
      <c r="M754">
        <v>2024</v>
      </c>
      <c r="N754" t="s">
        <v>1074</v>
      </c>
      <c r="O754">
        <v>4</v>
      </c>
    </row>
    <row r="755" spans="1:15" x14ac:dyDescent="0.25">
      <c r="A755" t="s">
        <v>783</v>
      </c>
      <c r="B755" t="s">
        <v>24</v>
      </c>
      <c r="C755">
        <v>152</v>
      </c>
      <c r="D755" t="s">
        <v>13</v>
      </c>
      <c r="E755">
        <v>88</v>
      </c>
      <c r="F755">
        <v>4.7</v>
      </c>
      <c r="G755" s="8">
        <v>45196</v>
      </c>
      <c r="H755">
        <v>2023</v>
      </c>
      <c r="I755">
        <v>3</v>
      </c>
      <c r="J755">
        <v>9</v>
      </c>
      <c r="K755" t="s">
        <v>1054</v>
      </c>
      <c r="L755" t="s">
        <v>1043</v>
      </c>
      <c r="M755">
        <v>2024</v>
      </c>
      <c r="N755" t="s">
        <v>1075</v>
      </c>
      <c r="O755">
        <v>5</v>
      </c>
    </row>
    <row r="756" spans="1:15" x14ac:dyDescent="0.25">
      <c r="A756" t="s">
        <v>784</v>
      </c>
      <c r="B756" t="s">
        <v>17</v>
      </c>
      <c r="C756">
        <v>108</v>
      </c>
      <c r="D756" t="s">
        <v>9</v>
      </c>
      <c r="E756">
        <v>190</v>
      </c>
      <c r="F756">
        <v>3.2</v>
      </c>
      <c r="G756" s="8">
        <v>45196</v>
      </c>
      <c r="H756">
        <v>2023</v>
      </c>
      <c r="I756">
        <v>3</v>
      </c>
      <c r="J756">
        <v>9</v>
      </c>
      <c r="K756" t="s">
        <v>1054</v>
      </c>
      <c r="L756" t="s">
        <v>1043</v>
      </c>
      <c r="M756">
        <v>2024</v>
      </c>
      <c r="N756" t="s">
        <v>1074</v>
      </c>
      <c r="O756">
        <v>3</v>
      </c>
    </row>
    <row r="757" spans="1:15" x14ac:dyDescent="0.25">
      <c r="A757" t="s">
        <v>785</v>
      </c>
      <c r="B757" t="s">
        <v>17</v>
      </c>
      <c r="C757">
        <v>156</v>
      </c>
      <c r="D757" t="s">
        <v>13</v>
      </c>
      <c r="E757">
        <v>81</v>
      </c>
      <c r="F757">
        <v>5</v>
      </c>
      <c r="G757" s="8">
        <v>45196</v>
      </c>
      <c r="H757">
        <v>2023</v>
      </c>
      <c r="I757">
        <v>3</v>
      </c>
      <c r="J757">
        <v>9</v>
      </c>
      <c r="K757" t="s">
        <v>1054</v>
      </c>
      <c r="L757" t="s">
        <v>1043</v>
      </c>
      <c r="M757">
        <v>2024</v>
      </c>
      <c r="N757" t="s">
        <v>1075</v>
      </c>
      <c r="O757">
        <v>5</v>
      </c>
    </row>
    <row r="758" spans="1:15" x14ac:dyDescent="0.25">
      <c r="A758" t="s">
        <v>786</v>
      </c>
      <c r="B758" t="s">
        <v>7</v>
      </c>
      <c r="C758">
        <v>126</v>
      </c>
      <c r="D758" t="s">
        <v>9</v>
      </c>
      <c r="E758">
        <v>44</v>
      </c>
      <c r="F758">
        <v>3.7</v>
      </c>
      <c r="G758" s="8">
        <v>45196</v>
      </c>
      <c r="H758">
        <v>2023</v>
      </c>
      <c r="I758">
        <v>3</v>
      </c>
      <c r="J758">
        <v>9</v>
      </c>
      <c r="K758" t="s">
        <v>1054</v>
      </c>
      <c r="L758" t="s">
        <v>1043</v>
      </c>
      <c r="M758">
        <v>2024</v>
      </c>
      <c r="N758" t="s">
        <v>1075</v>
      </c>
      <c r="O758">
        <v>4</v>
      </c>
    </row>
    <row r="759" spans="1:15" x14ac:dyDescent="0.25">
      <c r="A759" t="s">
        <v>787</v>
      </c>
      <c r="B759" t="s">
        <v>23</v>
      </c>
      <c r="C759">
        <v>135</v>
      </c>
      <c r="D759" t="s">
        <v>13</v>
      </c>
      <c r="E759">
        <v>92</v>
      </c>
      <c r="F759">
        <v>3.9</v>
      </c>
      <c r="G759" s="8">
        <v>45197</v>
      </c>
      <c r="H759">
        <v>2023</v>
      </c>
      <c r="I759">
        <v>3</v>
      </c>
      <c r="J759">
        <v>9</v>
      </c>
      <c r="K759" t="s">
        <v>1054</v>
      </c>
      <c r="L759" t="s">
        <v>1044</v>
      </c>
      <c r="M759">
        <v>2024</v>
      </c>
      <c r="N759" t="s">
        <v>1075</v>
      </c>
      <c r="O759">
        <v>4</v>
      </c>
    </row>
    <row r="760" spans="1:15" x14ac:dyDescent="0.25">
      <c r="A760" t="s">
        <v>788</v>
      </c>
      <c r="B760" t="s">
        <v>7</v>
      </c>
      <c r="C760">
        <v>110</v>
      </c>
      <c r="D760" t="s">
        <v>10</v>
      </c>
      <c r="E760">
        <v>90</v>
      </c>
      <c r="F760">
        <v>3.1</v>
      </c>
      <c r="G760" s="8">
        <v>45198</v>
      </c>
      <c r="H760">
        <v>2023</v>
      </c>
      <c r="I760">
        <v>3</v>
      </c>
      <c r="J760">
        <v>9</v>
      </c>
      <c r="K760" t="s">
        <v>1054</v>
      </c>
      <c r="L760" t="s">
        <v>1045</v>
      </c>
      <c r="M760">
        <v>2024</v>
      </c>
      <c r="N760" t="s">
        <v>1074</v>
      </c>
      <c r="O760">
        <v>3</v>
      </c>
    </row>
    <row r="761" spans="1:15" x14ac:dyDescent="0.25">
      <c r="A761" t="s">
        <v>789</v>
      </c>
      <c r="B761" t="s">
        <v>19</v>
      </c>
      <c r="C761">
        <v>64</v>
      </c>
      <c r="D761" t="s">
        <v>13</v>
      </c>
      <c r="E761">
        <v>112</v>
      </c>
      <c r="F761">
        <v>2</v>
      </c>
      <c r="G761" s="8">
        <v>45198</v>
      </c>
      <c r="H761">
        <v>2023</v>
      </c>
      <c r="I761">
        <v>3</v>
      </c>
      <c r="J761">
        <v>9</v>
      </c>
      <c r="K761" t="s">
        <v>1054</v>
      </c>
      <c r="L761" t="s">
        <v>1045</v>
      </c>
      <c r="M761">
        <v>2024</v>
      </c>
      <c r="N761" t="s">
        <v>1074</v>
      </c>
      <c r="O761">
        <v>2</v>
      </c>
    </row>
    <row r="762" spans="1:15" x14ac:dyDescent="0.25">
      <c r="A762" t="s">
        <v>790</v>
      </c>
      <c r="B762" t="s">
        <v>22</v>
      </c>
      <c r="C762">
        <v>127</v>
      </c>
      <c r="D762" t="s">
        <v>9</v>
      </c>
      <c r="E762">
        <v>112</v>
      </c>
      <c r="F762">
        <v>4.5999999999999996</v>
      </c>
      <c r="G762" s="8">
        <v>45198</v>
      </c>
      <c r="H762">
        <v>2023</v>
      </c>
      <c r="I762">
        <v>3</v>
      </c>
      <c r="J762">
        <v>9</v>
      </c>
      <c r="K762" t="s">
        <v>1054</v>
      </c>
      <c r="L762" t="s">
        <v>1045</v>
      </c>
      <c r="M762">
        <v>2024</v>
      </c>
      <c r="N762" t="s">
        <v>1075</v>
      </c>
      <c r="O762">
        <v>5</v>
      </c>
    </row>
    <row r="763" spans="1:15" x14ac:dyDescent="0.25">
      <c r="A763" t="s">
        <v>791</v>
      </c>
      <c r="B763" t="s">
        <v>5</v>
      </c>
      <c r="C763">
        <v>124</v>
      </c>
      <c r="D763" t="s">
        <v>11</v>
      </c>
      <c r="E763">
        <v>48</v>
      </c>
      <c r="F763">
        <v>3.7</v>
      </c>
      <c r="G763" s="8">
        <v>45198</v>
      </c>
      <c r="H763">
        <v>2023</v>
      </c>
      <c r="I763">
        <v>3</v>
      </c>
      <c r="J763">
        <v>9</v>
      </c>
      <c r="K763" t="s">
        <v>1054</v>
      </c>
      <c r="L763" t="s">
        <v>1045</v>
      </c>
      <c r="M763">
        <v>2024</v>
      </c>
      <c r="N763" t="s">
        <v>1075</v>
      </c>
      <c r="O763">
        <v>4</v>
      </c>
    </row>
    <row r="764" spans="1:15" x14ac:dyDescent="0.25">
      <c r="A764" t="s">
        <v>792</v>
      </c>
      <c r="B764" t="s">
        <v>19</v>
      </c>
      <c r="C764">
        <v>125</v>
      </c>
      <c r="D764" t="s">
        <v>9</v>
      </c>
      <c r="E764">
        <v>116</v>
      </c>
      <c r="F764">
        <v>4.4000000000000004</v>
      </c>
      <c r="G764" s="8">
        <v>45198</v>
      </c>
      <c r="H764">
        <v>2023</v>
      </c>
      <c r="I764">
        <v>3</v>
      </c>
      <c r="J764">
        <v>9</v>
      </c>
      <c r="K764" t="s">
        <v>1054</v>
      </c>
      <c r="L764" t="s">
        <v>1045</v>
      </c>
      <c r="M764">
        <v>2024</v>
      </c>
      <c r="N764" t="s">
        <v>1075</v>
      </c>
      <c r="O764">
        <v>4</v>
      </c>
    </row>
    <row r="765" spans="1:15" x14ac:dyDescent="0.25">
      <c r="A765" t="s">
        <v>793</v>
      </c>
      <c r="B765" t="s">
        <v>12</v>
      </c>
      <c r="C765">
        <v>70</v>
      </c>
      <c r="D765" t="s">
        <v>9</v>
      </c>
      <c r="E765">
        <v>29</v>
      </c>
      <c r="F765">
        <v>2.1</v>
      </c>
      <c r="G765" s="8">
        <v>45198</v>
      </c>
      <c r="H765">
        <v>2023</v>
      </c>
      <c r="I765">
        <v>3</v>
      </c>
      <c r="J765">
        <v>9</v>
      </c>
      <c r="K765" t="s">
        <v>1054</v>
      </c>
      <c r="L765" t="s">
        <v>1045</v>
      </c>
      <c r="M765">
        <v>2024</v>
      </c>
      <c r="N765" t="s">
        <v>1074</v>
      </c>
      <c r="O765">
        <v>2</v>
      </c>
    </row>
    <row r="766" spans="1:15" x14ac:dyDescent="0.25">
      <c r="A766" t="s">
        <v>794</v>
      </c>
      <c r="B766" t="s">
        <v>22</v>
      </c>
      <c r="C766">
        <v>93</v>
      </c>
      <c r="D766" t="s">
        <v>13</v>
      </c>
      <c r="E766">
        <v>170</v>
      </c>
      <c r="F766">
        <v>2.2000000000000002</v>
      </c>
      <c r="G766" s="8">
        <v>45199</v>
      </c>
      <c r="H766">
        <v>2023</v>
      </c>
      <c r="I766">
        <v>3</v>
      </c>
      <c r="J766">
        <v>9</v>
      </c>
      <c r="K766" t="s">
        <v>1054</v>
      </c>
      <c r="L766" t="s">
        <v>1046</v>
      </c>
      <c r="M766">
        <v>2024</v>
      </c>
      <c r="N766" t="s">
        <v>1074</v>
      </c>
      <c r="O766">
        <v>2</v>
      </c>
    </row>
    <row r="767" spans="1:15" x14ac:dyDescent="0.25">
      <c r="A767" t="s">
        <v>795</v>
      </c>
      <c r="B767" t="s">
        <v>12</v>
      </c>
      <c r="C767">
        <v>120</v>
      </c>
      <c r="D767" t="s">
        <v>6</v>
      </c>
      <c r="E767">
        <v>68</v>
      </c>
      <c r="F767">
        <v>3.4</v>
      </c>
      <c r="G767" s="8">
        <v>45199</v>
      </c>
      <c r="H767">
        <v>2023</v>
      </c>
      <c r="I767">
        <v>3</v>
      </c>
      <c r="J767">
        <v>9</v>
      </c>
      <c r="K767" t="s">
        <v>1054</v>
      </c>
      <c r="L767" t="s">
        <v>1046</v>
      </c>
      <c r="M767">
        <v>2024</v>
      </c>
      <c r="N767" t="s">
        <v>1074</v>
      </c>
      <c r="O767">
        <v>3</v>
      </c>
    </row>
    <row r="768" spans="1:15" x14ac:dyDescent="0.25">
      <c r="A768" t="s">
        <v>796</v>
      </c>
      <c r="B768" t="s">
        <v>8</v>
      </c>
      <c r="C768">
        <v>96</v>
      </c>
      <c r="D768" t="s">
        <v>10</v>
      </c>
      <c r="E768">
        <v>195</v>
      </c>
      <c r="F768">
        <v>2.7</v>
      </c>
      <c r="G768" s="8">
        <v>45199</v>
      </c>
      <c r="H768">
        <v>2023</v>
      </c>
      <c r="I768">
        <v>3</v>
      </c>
      <c r="J768">
        <v>9</v>
      </c>
      <c r="K768" t="s">
        <v>1054</v>
      </c>
      <c r="L768" t="s">
        <v>1046</v>
      </c>
      <c r="M768">
        <v>2024</v>
      </c>
      <c r="N768" t="s">
        <v>1074</v>
      </c>
      <c r="O768">
        <v>3</v>
      </c>
    </row>
    <row r="769" spans="1:15" x14ac:dyDescent="0.25">
      <c r="A769" t="s">
        <v>797</v>
      </c>
      <c r="B769" t="s">
        <v>21</v>
      </c>
      <c r="C769">
        <v>67</v>
      </c>
      <c r="D769" t="s">
        <v>10</v>
      </c>
      <c r="E769">
        <v>96</v>
      </c>
      <c r="F769">
        <v>3.7</v>
      </c>
      <c r="G769" s="8">
        <v>45199</v>
      </c>
      <c r="H769">
        <v>2023</v>
      </c>
      <c r="I769">
        <v>3</v>
      </c>
      <c r="J769">
        <v>9</v>
      </c>
      <c r="K769" t="s">
        <v>1054</v>
      </c>
      <c r="L769" t="s">
        <v>1046</v>
      </c>
      <c r="M769">
        <v>2024</v>
      </c>
      <c r="N769" t="s">
        <v>1074</v>
      </c>
      <c r="O769">
        <v>4</v>
      </c>
    </row>
    <row r="770" spans="1:15" x14ac:dyDescent="0.25">
      <c r="A770" t="s">
        <v>798</v>
      </c>
      <c r="B770" t="s">
        <v>19</v>
      </c>
      <c r="C770">
        <v>119</v>
      </c>
      <c r="D770" t="s">
        <v>10</v>
      </c>
      <c r="E770">
        <v>96</v>
      </c>
      <c r="F770">
        <v>3.1</v>
      </c>
      <c r="G770" s="8">
        <v>45199</v>
      </c>
      <c r="H770">
        <v>2023</v>
      </c>
      <c r="I770">
        <v>3</v>
      </c>
      <c r="J770">
        <v>9</v>
      </c>
      <c r="K770" t="s">
        <v>1054</v>
      </c>
      <c r="L770" t="s">
        <v>1046</v>
      </c>
      <c r="M770">
        <v>2024</v>
      </c>
      <c r="N770" t="s">
        <v>1074</v>
      </c>
      <c r="O770">
        <v>3</v>
      </c>
    </row>
    <row r="771" spans="1:15" x14ac:dyDescent="0.25">
      <c r="A771" t="s">
        <v>799</v>
      </c>
      <c r="B771" t="s">
        <v>5</v>
      </c>
      <c r="C771">
        <v>61</v>
      </c>
      <c r="D771" t="s">
        <v>11</v>
      </c>
      <c r="E771">
        <v>117</v>
      </c>
      <c r="F771">
        <v>4.0999999999999996</v>
      </c>
      <c r="G771" s="8">
        <v>45199</v>
      </c>
      <c r="H771">
        <v>2023</v>
      </c>
      <c r="I771">
        <v>3</v>
      </c>
      <c r="J771">
        <v>9</v>
      </c>
      <c r="K771" t="s">
        <v>1054</v>
      </c>
      <c r="L771" t="s">
        <v>1046</v>
      </c>
      <c r="M771">
        <v>2024</v>
      </c>
      <c r="N771" t="s">
        <v>1074</v>
      </c>
      <c r="O771">
        <v>4</v>
      </c>
    </row>
    <row r="772" spans="1:15" x14ac:dyDescent="0.25">
      <c r="A772" t="s">
        <v>800</v>
      </c>
      <c r="B772" t="s">
        <v>8</v>
      </c>
      <c r="C772">
        <v>29</v>
      </c>
      <c r="D772" t="s">
        <v>13</v>
      </c>
      <c r="E772">
        <v>80</v>
      </c>
      <c r="F772">
        <v>4.8</v>
      </c>
      <c r="G772" s="8">
        <v>45199</v>
      </c>
      <c r="H772">
        <v>2023</v>
      </c>
      <c r="I772">
        <v>3</v>
      </c>
      <c r="J772">
        <v>9</v>
      </c>
      <c r="K772" t="s">
        <v>1054</v>
      </c>
      <c r="L772" t="s">
        <v>1046</v>
      </c>
      <c r="M772">
        <v>2024</v>
      </c>
      <c r="N772" t="s">
        <v>1077</v>
      </c>
      <c r="O772">
        <v>5</v>
      </c>
    </row>
    <row r="773" spans="1:15" x14ac:dyDescent="0.25">
      <c r="A773" t="s">
        <v>801</v>
      </c>
      <c r="B773" t="s">
        <v>24</v>
      </c>
      <c r="C773">
        <v>134</v>
      </c>
      <c r="D773" t="s">
        <v>6</v>
      </c>
      <c r="E773">
        <v>117</v>
      </c>
      <c r="F773">
        <v>4</v>
      </c>
      <c r="G773" s="8">
        <v>45199</v>
      </c>
      <c r="H773">
        <v>2023</v>
      </c>
      <c r="I773">
        <v>3</v>
      </c>
      <c r="J773">
        <v>9</v>
      </c>
      <c r="K773" t="s">
        <v>1054</v>
      </c>
      <c r="L773" t="s">
        <v>1046</v>
      </c>
      <c r="M773">
        <v>2024</v>
      </c>
      <c r="N773" t="s">
        <v>1075</v>
      </c>
      <c r="O773">
        <v>4</v>
      </c>
    </row>
    <row r="774" spans="1:15" x14ac:dyDescent="0.25">
      <c r="A774" t="s">
        <v>802</v>
      </c>
      <c r="B774" t="s">
        <v>7</v>
      </c>
      <c r="C774">
        <v>113</v>
      </c>
      <c r="D774" t="s">
        <v>10</v>
      </c>
      <c r="E774">
        <v>40</v>
      </c>
      <c r="F774">
        <v>3</v>
      </c>
      <c r="G774" s="8">
        <v>45200</v>
      </c>
      <c r="H774">
        <v>2023</v>
      </c>
      <c r="I774">
        <v>4</v>
      </c>
      <c r="J774">
        <v>10</v>
      </c>
      <c r="K774" t="s">
        <v>1055</v>
      </c>
      <c r="L774" t="s">
        <v>1040</v>
      </c>
      <c r="M774">
        <v>2024</v>
      </c>
      <c r="N774" t="s">
        <v>1074</v>
      </c>
      <c r="O774">
        <v>3</v>
      </c>
    </row>
    <row r="775" spans="1:15" x14ac:dyDescent="0.25">
      <c r="A775" t="s">
        <v>803</v>
      </c>
      <c r="B775" t="s">
        <v>17</v>
      </c>
      <c r="C775">
        <v>12</v>
      </c>
      <c r="D775" t="s">
        <v>6</v>
      </c>
      <c r="E775">
        <v>117</v>
      </c>
      <c r="F775">
        <v>4.8</v>
      </c>
      <c r="G775" s="8">
        <v>45200</v>
      </c>
      <c r="H775">
        <v>2023</v>
      </c>
      <c r="I775">
        <v>4</v>
      </c>
      <c r="J775">
        <v>10</v>
      </c>
      <c r="K775" t="s">
        <v>1055</v>
      </c>
      <c r="L775" t="s">
        <v>1040</v>
      </c>
      <c r="M775">
        <v>2024</v>
      </c>
      <c r="N775" t="s">
        <v>1077</v>
      </c>
      <c r="O775">
        <v>5</v>
      </c>
    </row>
    <row r="776" spans="1:15" x14ac:dyDescent="0.25">
      <c r="A776" t="s">
        <v>804</v>
      </c>
      <c r="B776" t="s">
        <v>14</v>
      </c>
      <c r="C776">
        <v>78</v>
      </c>
      <c r="D776" t="s">
        <v>13</v>
      </c>
      <c r="E776">
        <v>135</v>
      </c>
      <c r="F776">
        <v>4.0999999999999996</v>
      </c>
      <c r="G776" s="8">
        <v>45200</v>
      </c>
      <c r="H776">
        <v>2023</v>
      </c>
      <c r="I776">
        <v>4</v>
      </c>
      <c r="J776">
        <v>10</v>
      </c>
      <c r="K776" t="s">
        <v>1055</v>
      </c>
      <c r="L776" t="s">
        <v>1040</v>
      </c>
      <c r="M776">
        <v>2024</v>
      </c>
      <c r="N776" t="s">
        <v>1074</v>
      </c>
      <c r="O776">
        <v>4</v>
      </c>
    </row>
    <row r="777" spans="1:15" x14ac:dyDescent="0.25">
      <c r="A777" t="s">
        <v>805</v>
      </c>
      <c r="B777" t="s">
        <v>19</v>
      </c>
      <c r="C777">
        <v>82</v>
      </c>
      <c r="D777" t="s">
        <v>9</v>
      </c>
      <c r="E777">
        <v>99</v>
      </c>
      <c r="F777">
        <v>4.2</v>
      </c>
      <c r="G777" s="8">
        <v>45200</v>
      </c>
      <c r="H777">
        <v>2023</v>
      </c>
      <c r="I777">
        <v>4</v>
      </c>
      <c r="J777">
        <v>10</v>
      </c>
      <c r="K777" t="s">
        <v>1055</v>
      </c>
      <c r="L777" t="s">
        <v>1040</v>
      </c>
      <c r="M777">
        <v>2024</v>
      </c>
      <c r="N777" t="s">
        <v>1074</v>
      </c>
      <c r="O777">
        <v>4</v>
      </c>
    </row>
    <row r="778" spans="1:15" x14ac:dyDescent="0.25">
      <c r="A778" t="s">
        <v>806</v>
      </c>
      <c r="B778" t="s">
        <v>18</v>
      </c>
      <c r="C778">
        <v>149</v>
      </c>
      <c r="D778" t="s">
        <v>11</v>
      </c>
      <c r="E778">
        <v>130</v>
      </c>
      <c r="F778">
        <v>3.3</v>
      </c>
      <c r="G778" s="8">
        <v>45200</v>
      </c>
      <c r="H778">
        <v>2023</v>
      </c>
      <c r="I778">
        <v>4</v>
      </c>
      <c r="J778">
        <v>10</v>
      </c>
      <c r="K778" t="s">
        <v>1055</v>
      </c>
      <c r="L778" t="s">
        <v>1040</v>
      </c>
      <c r="M778">
        <v>2024</v>
      </c>
      <c r="N778" t="s">
        <v>1075</v>
      </c>
      <c r="O778">
        <v>3</v>
      </c>
    </row>
    <row r="779" spans="1:15" x14ac:dyDescent="0.25">
      <c r="A779" t="s">
        <v>807</v>
      </c>
      <c r="B779" t="s">
        <v>15</v>
      </c>
      <c r="C779">
        <v>56</v>
      </c>
      <c r="D779" t="s">
        <v>6</v>
      </c>
      <c r="E779">
        <v>96</v>
      </c>
      <c r="F779">
        <v>4.7</v>
      </c>
      <c r="G779" s="8">
        <v>45200</v>
      </c>
      <c r="H779">
        <v>2023</v>
      </c>
      <c r="I779">
        <v>4</v>
      </c>
      <c r="J779">
        <v>10</v>
      </c>
      <c r="K779" t="s">
        <v>1055</v>
      </c>
      <c r="L779" t="s">
        <v>1040</v>
      </c>
      <c r="M779">
        <v>2024</v>
      </c>
      <c r="N779" t="s">
        <v>1076</v>
      </c>
      <c r="O779">
        <v>5</v>
      </c>
    </row>
    <row r="780" spans="1:15" x14ac:dyDescent="0.25">
      <c r="A780" t="s">
        <v>808</v>
      </c>
      <c r="B780" t="s">
        <v>8</v>
      </c>
      <c r="C780">
        <v>80</v>
      </c>
      <c r="D780" t="s">
        <v>11</v>
      </c>
      <c r="E780">
        <v>128</v>
      </c>
      <c r="F780">
        <v>3.7</v>
      </c>
      <c r="G780" s="8">
        <v>45200</v>
      </c>
      <c r="H780">
        <v>2023</v>
      </c>
      <c r="I780">
        <v>4</v>
      </c>
      <c r="J780">
        <v>10</v>
      </c>
      <c r="K780" t="s">
        <v>1055</v>
      </c>
      <c r="L780" t="s">
        <v>1040</v>
      </c>
      <c r="M780">
        <v>2024</v>
      </c>
      <c r="N780" t="s">
        <v>1074</v>
      </c>
      <c r="O780">
        <v>4</v>
      </c>
    </row>
    <row r="781" spans="1:15" x14ac:dyDescent="0.25">
      <c r="A781" t="s">
        <v>809</v>
      </c>
      <c r="B781" t="s">
        <v>5</v>
      </c>
      <c r="C781">
        <v>131</v>
      </c>
      <c r="D781" t="s">
        <v>10</v>
      </c>
      <c r="E781">
        <v>69</v>
      </c>
      <c r="F781">
        <v>4.7</v>
      </c>
      <c r="G781" s="8">
        <v>45200</v>
      </c>
      <c r="H781">
        <v>2023</v>
      </c>
      <c r="I781">
        <v>4</v>
      </c>
      <c r="J781">
        <v>10</v>
      </c>
      <c r="K781" t="s">
        <v>1055</v>
      </c>
      <c r="L781" t="s">
        <v>1040</v>
      </c>
      <c r="M781">
        <v>2024</v>
      </c>
      <c r="N781" t="s">
        <v>1075</v>
      </c>
      <c r="O781">
        <v>5</v>
      </c>
    </row>
    <row r="782" spans="1:15" x14ac:dyDescent="0.25">
      <c r="A782" t="s">
        <v>810</v>
      </c>
      <c r="B782" t="s">
        <v>5</v>
      </c>
      <c r="C782">
        <v>109</v>
      </c>
      <c r="D782" t="s">
        <v>10</v>
      </c>
      <c r="E782">
        <v>44</v>
      </c>
      <c r="F782">
        <v>4.5999999999999996</v>
      </c>
      <c r="G782" s="8">
        <v>45200</v>
      </c>
      <c r="H782">
        <v>2023</v>
      </c>
      <c r="I782">
        <v>4</v>
      </c>
      <c r="J782">
        <v>10</v>
      </c>
      <c r="K782" t="s">
        <v>1055</v>
      </c>
      <c r="L782" t="s">
        <v>1040</v>
      </c>
      <c r="M782">
        <v>2024</v>
      </c>
      <c r="N782" t="s">
        <v>1074</v>
      </c>
      <c r="O782">
        <v>5</v>
      </c>
    </row>
    <row r="783" spans="1:15" x14ac:dyDescent="0.25">
      <c r="A783" t="s">
        <v>811</v>
      </c>
      <c r="B783" t="s">
        <v>15</v>
      </c>
      <c r="C783">
        <v>142</v>
      </c>
      <c r="D783" t="s">
        <v>10</v>
      </c>
      <c r="E783">
        <v>44</v>
      </c>
      <c r="F783">
        <v>4.8</v>
      </c>
      <c r="G783" s="8">
        <v>45200</v>
      </c>
      <c r="H783">
        <v>2023</v>
      </c>
      <c r="I783">
        <v>4</v>
      </c>
      <c r="J783">
        <v>10</v>
      </c>
      <c r="K783" t="s">
        <v>1055</v>
      </c>
      <c r="L783" t="s">
        <v>1040</v>
      </c>
      <c r="M783">
        <v>2024</v>
      </c>
      <c r="N783" t="s">
        <v>1075</v>
      </c>
      <c r="O783">
        <v>5</v>
      </c>
    </row>
    <row r="784" spans="1:15" x14ac:dyDescent="0.25">
      <c r="A784" t="s">
        <v>812</v>
      </c>
      <c r="B784" t="s">
        <v>22</v>
      </c>
      <c r="C784">
        <v>114</v>
      </c>
      <c r="D784" t="s">
        <v>6</v>
      </c>
      <c r="E784">
        <v>135</v>
      </c>
      <c r="F784">
        <v>2</v>
      </c>
      <c r="G784" s="8">
        <v>45201</v>
      </c>
      <c r="H784">
        <v>2023</v>
      </c>
      <c r="I784">
        <v>4</v>
      </c>
      <c r="J784">
        <v>10</v>
      </c>
      <c r="K784" t="s">
        <v>1055</v>
      </c>
      <c r="L784" t="s">
        <v>1041</v>
      </c>
      <c r="M784">
        <v>2024</v>
      </c>
      <c r="N784" t="s">
        <v>1074</v>
      </c>
      <c r="O784">
        <v>2</v>
      </c>
    </row>
    <row r="785" spans="1:15" x14ac:dyDescent="0.25">
      <c r="A785" t="s">
        <v>813</v>
      </c>
      <c r="B785" t="s">
        <v>21</v>
      </c>
      <c r="C785">
        <v>93</v>
      </c>
      <c r="D785" t="s">
        <v>11</v>
      </c>
      <c r="E785">
        <v>45</v>
      </c>
      <c r="F785">
        <v>3.9</v>
      </c>
      <c r="G785" s="8">
        <v>45201</v>
      </c>
      <c r="H785">
        <v>2023</v>
      </c>
      <c r="I785">
        <v>4</v>
      </c>
      <c r="J785">
        <v>10</v>
      </c>
      <c r="K785" t="s">
        <v>1055</v>
      </c>
      <c r="L785" t="s">
        <v>1041</v>
      </c>
      <c r="M785">
        <v>2024</v>
      </c>
      <c r="N785" t="s">
        <v>1074</v>
      </c>
      <c r="O785">
        <v>4</v>
      </c>
    </row>
    <row r="786" spans="1:15" x14ac:dyDescent="0.25">
      <c r="A786" t="s">
        <v>814</v>
      </c>
      <c r="B786" t="s">
        <v>17</v>
      </c>
      <c r="C786">
        <v>43</v>
      </c>
      <c r="D786" t="s">
        <v>11</v>
      </c>
      <c r="E786">
        <v>87</v>
      </c>
      <c r="F786">
        <v>3</v>
      </c>
      <c r="G786" s="8">
        <v>45201</v>
      </c>
      <c r="H786">
        <v>2023</v>
      </c>
      <c r="I786">
        <v>4</v>
      </c>
      <c r="J786">
        <v>10</v>
      </c>
      <c r="K786" t="s">
        <v>1055</v>
      </c>
      <c r="L786" t="s">
        <v>1041</v>
      </c>
      <c r="M786">
        <v>2024</v>
      </c>
      <c r="N786" t="s">
        <v>1076</v>
      </c>
      <c r="O786">
        <v>3</v>
      </c>
    </row>
    <row r="787" spans="1:15" x14ac:dyDescent="0.25">
      <c r="A787" t="s">
        <v>815</v>
      </c>
      <c r="B787" t="s">
        <v>24</v>
      </c>
      <c r="C787">
        <v>78</v>
      </c>
      <c r="D787" t="s">
        <v>13</v>
      </c>
      <c r="E787">
        <v>84</v>
      </c>
      <c r="F787">
        <v>4.5999999999999996</v>
      </c>
      <c r="G787" s="8">
        <v>45202</v>
      </c>
      <c r="H787">
        <v>2023</v>
      </c>
      <c r="I787">
        <v>4</v>
      </c>
      <c r="J787">
        <v>10</v>
      </c>
      <c r="K787" t="s">
        <v>1055</v>
      </c>
      <c r="L787" t="s">
        <v>1042</v>
      </c>
      <c r="M787">
        <v>2024</v>
      </c>
      <c r="N787" t="s">
        <v>1074</v>
      </c>
      <c r="O787">
        <v>5</v>
      </c>
    </row>
    <row r="788" spans="1:15" x14ac:dyDescent="0.25">
      <c r="A788" t="s">
        <v>816</v>
      </c>
      <c r="B788" t="s">
        <v>22</v>
      </c>
      <c r="C788">
        <v>89</v>
      </c>
      <c r="D788" t="s">
        <v>10</v>
      </c>
      <c r="E788">
        <v>81</v>
      </c>
      <c r="F788">
        <v>3.8</v>
      </c>
      <c r="G788" s="8">
        <v>45202</v>
      </c>
      <c r="H788">
        <v>2023</v>
      </c>
      <c r="I788">
        <v>4</v>
      </c>
      <c r="J788">
        <v>10</v>
      </c>
      <c r="K788" t="s">
        <v>1055</v>
      </c>
      <c r="L788" t="s">
        <v>1042</v>
      </c>
      <c r="M788">
        <v>2024</v>
      </c>
      <c r="N788" t="s">
        <v>1074</v>
      </c>
      <c r="O788">
        <v>4</v>
      </c>
    </row>
    <row r="789" spans="1:15" x14ac:dyDescent="0.25">
      <c r="A789" t="s">
        <v>817</v>
      </c>
      <c r="B789" t="s">
        <v>15</v>
      </c>
      <c r="C789">
        <v>82</v>
      </c>
      <c r="D789" t="s">
        <v>9</v>
      </c>
      <c r="E789">
        <v>130</v>
      </c>
      <c r="F789">
        <v>4.4000000000000004</v>
      </c>
      <c r="G789" s="8">
        <v>45202</v>
      </c>
      <c r="H789">
        <v>2023</v>
      </c>
      <c r="I789">
        <v>4</v>
      </c>
      <c r="J789">
        <v>10</v>
      </c>
      <c r="K789" t="s">
        <v>1055</v>
      </c>
      <c r="L789" t="s">
        <v>1042</v>
      </c>
      <c r="M789">
        <v>2024</v>
      </c>
      <c r="N789" t="s">
        <v>1074</v>
      </c>
      <c r="O789">
        <v>4</v>
      </c>
    </row>
    <row r="790" spans="1:15" x14ac:dyDescent="0.25">
      <c r="A790" t="s">
        <v>818</v>
      </c>
      <c r="B790" t="s">
        <v>8</v>
      </c>
      <c r="C790">
        <v>86</v>
      </c>
      <c r="D790" t="s">
        <v>10</v>
      </c>
      <c r="E790">
        <v>92</v>
      </c>
      <c r="F790">
        <v>2.4</v>
      </c>
      <c r="G790" s="8">
        <v>45203</v>
      </c>
      <c r="H790">
        <v>2023</v>
      </c>
      <c r="I790">
        <v>4</v>
      </c>
      <c r="J790">
        <v>10</v>
      </c>
      <c r="K790" t="s">
        <v>1055</v>
      </c>
      <c r="L790" t="s">
        <v>1043</v>
      </c>
      <c r="M790">
        <v>2024</v>
      </c>
      <c r="N790" t="s">
        <v>1074</v>
      </c>
      <c r="O790">
        <v>2</v>
      </c>
    </row>
    <row r="791" spans="1:15" x14ac:dyDescent="0.25">
      <c r="A791" t="s">
        <v>819</v>
      </c>
      <c r="B791" t="s">
        <v>16</v>
      </c>
      <c r="C791">
        <v>57</v>
      </c>
      <c r="D791" t="s">
        <v>13</v>
      </c>
      <c r="E791">
        <v>48</v>
      </c>
      <c r="F791">
        <v>4.5</v>
      </c>
      <c r="G791" s="8">
        <v>45203</v>
      </c>
      <c r="H791">
        <v>2023</v>
      </c>
      <c r="I791">
        <v>4</v>
      </c>
      <c r="J791">
        <v>10</v>
      </c>
      <c r="K791" t="s">
        <v>1055</v>
      </c>
      <c r="L791" t="s">
        <v>1043</v>
      </c>
      <c r="M791">
        <v>2024</v>
      </c>
      <c r="N791" t="s">
        <v>1076</v>
      </c>
      <c r="O791">
        <v>4</v>
      </c>
    </row>
    <row r="792" spans="1:15" x14ac:dyDescent="0.25">
      <c r="A792" t="s">
        <v>820</v>
      </c>
      <c r="B792" t="s">
        <v>21</v>
      </c>
      <c r="C792">
        <v>103</v>
      </c>
      <c r="D792" t="s">
        <v>6</v>
      </c>
      <c r="E792">
        <v>160</v>
      </c>
      <c r="F792">
        <v>4.5</v>
      </c>
      <c r="G792" s="8">
        <v>45203</v>
      </c>
      <c r="H792">
        <v>2023</v>
      </c>
      <c r="I792">
        <v>4</v>
      </c>
      <c r="J792">
        <v>10</v>
      </c>
      <c r="K792" t="s">
        <v>1055</v>
      </c>
      <c r="L792" t="s">
        <v>1043</v>
      </c>
      <c r="M792">
        <v>2024</v>
      </c>
      <c r="N792" t="s">
        <v>1074</v>
      </c>
      <c r="O792">
        <v>4</v>
      </c>
    </row>
    <row r="793" spans="1:15" x14ac:dyDescent="0.25">
      <c r="A793" t="s">
        <v>821</v>
      </c>
      <c r="B793" t="s">
        <v>14</v>
      </c>
      <c r="C793">
        <v>138</v>
      </c>
      <c r="D793" t="s">
        <v>13</v>
      </c>
      <c r="E793">
        <v>155</v>
      </c>
      <c r="F793">
        <v>2.7</v>
      </c>
      <c r="G793" s="8">
        <v>45204</v>
      </c>
      <c r="H793">
        <v>2023</v>
      </c>
      <c r="I793">
        <v>4</v>
      </c>
      <c r="J793">
        <v>10</v>
      </c>
      <c r="K793" t="s">
        <v>1055</v>
      </c>
      <c r="L793" t="s">
        <v>1044</v>
      </c>
      <c r="M793">
        <v>2024</v>
      </c>
      <c r="N793" t="s">
        <v>1075</v>
      </c>
      <c r="O793">
        <v>3</v>
      </c>
    </row>
    <row r="794" spans="1:15" x14ac:dyDescent="0.25">
      <c r="A794" t="s">
        <v>822</v>
      </c>
      <c r="B794" t="s">
        <v>18</v>
      </c>
      <c r="C794">
        <v>88</v>
      </c>
      <c r="D794" t="s">
        <v>9</v>
      </c>
      <c r="E794">
        <v>100</v>
      </c>
      <c r="F794">
        <v>4.9000000000000004</v>
      </c>
      <c r="G794" s="8">
        <v>45204</v>
      </c>
      <c r="H794">
        <v>2023</v>
      </c>
      <c r="I794">
        <v>4</v>
      </c>
      <c r="J794">
        <v>10</v>
      </c>
      <c r="K794" t="s">
        <v>1055</v>
      </c>
      <c r="L794" t="s">
        <v>1044</v>
      </c>
      <c r="M794">
        <v>2024</v>
      </c>
      <c r="N794" t="s">
        <v>1074</v>
      </c>
      <c r="O794">
        <v>5</v>
      </c>
    </row>
    <row r="795" spans="1:15" x14ac:dyDescent="0.25">
      <c r="A795" t="s">
        <v>823</v>
      </c>
      <c r="B795" t="s">
        <v>22</v>
      </c>
      <c r="C795">
        <v>118</v>
      </c>
      <c r="D795" t="s">
        <v>11</v>
      </c>
      <c r="E795">
        <v>56</v>
      </c>
      <c r="F795">
        <v>3.7</v>
      </c>
      <c r="G795" s="8">
        <v>45204</v>
      </c>
      <c r="H795">
        <v>2023</v>
      </c>
      <c r="I795">
        <v>4</v>
      </c>
      <c r="J795">
        <v>10</v>
      </c>
      <c r="K795" t="s">
        <v>1055</v>
      </c>
      <c r="L795" t="s">
        <v>1044</v>
      </c>
      <c r="M795">
        <v>2024</v>
      </c>
      <c r="N795" t="s">
        <v>1074</v>
      </c>
      <c r="O795">
        <v>4</v>
      </c>
    </row>
    <row r="796" spans="1:15" x14ac:dyDescent="0.25">
      <c r="A796" t="s">
        <v>824</v>
      </c>
      <c r="B796" t="s">
        <v>8</v>
      </c>
      <c r="C796">
        <v>4</v>
      </c>
      <c r="D796" t="s">
        <v>10</v>
      </c>
      <c r="E796">
        <v>170</v>
      </c>
      <c r="F796">
        <v>3.9</v>
      </c>
      <c r="G796" s="8">
        <v>45204</v>
      </c>
      <c r="H796">
        <v>2023</v>
      </c>
      <c r="I796">
        <v>4</v>
      </c>
      <c r="J796">
        <v>10</v>
      </c>
      <c r="K796" t="s">
        <v>1055</v>
      </c>
      <c r="L796" t="s">
        <v>1044</v>
      </c>
      <c r="M796">
        <v>2024</v>
      </c>
      <c r="N796" t="s">
        <v>1078</v>
      </c>
      <c r="O796">
        <v>4</v>
      </c>
    </row>
    <row r="797" spans="1:15" x14ac:dyDescent="0.25">
      <c r="A797" t="s">
        <v>825</v>
      </c>
      <c r="B797" t="s">
        <v>17</v>
      </c>
      <c r="C797">
        <v>78</v>
      </c>
      <c r="D797" t="s">
        <v>6</v>
      </c>
      <c r="E797">
        <v>74</v>
      </c>
      <c r="F797">
        <v>3.5</v>
      </c>
      <c r="G797" s="8">
        <v>45205</v>
      </c>
      <c r="H797">
        <v>2023</v>
      </c>
      <c r="I797">
        <v>4</v>
      </c>
      <c r="J797">
        <v>10</v>
      </c>
      <c r="K797" t="s">
        <v>1055</v>
      </c>
      <c r="L797" t="s">
        <v>1045</v>
      </c>
      <c r="M797">
        <v>2024</v>
      </c>
      <c r="N797" t="s">
        <v>1074</v>
      </c>
      <c r="O797">
        <v>4</v>
      </c>
    </row>
    <row r="798" spans="1:15" x14ac:dyDescent="0.25">
      <c r="A798" t="s">
        <v>826</v>
      </c>
      <c r="B798" t="s">
        <v>7</v>
      </c>
      <c r="C798">
        <v>69</v>
      </c>
      <c r="D798" t="s">
        <v>10</v>
      </c>
      <c r="E798">
        <v>99</v>
      </c>
      <c r="F798">
        <v>2.7</v>
      </c>
      <c r="G798" s="8">
        <v>45205</v>
      </c>
      <c r="H798">
        <v>2023</v>
      </c>
      <c r="I798">
        <v>4</v>
      </c>
      <c r="J798">
        <v>10</v>
      </c>
      <c r="K798" t="s">
        <v>1055</v>
      </c>
      <c r="L798" t="s">
        <v>1045</v>
      </c>
      <c r="M798">
        <v>2024</v>
      </c>
      <c r="N798" t="s">
        <v>1074</v>
      </c>
      <c r="O798">
        <v>3</v>
      </c>
    </row>
    <row r="799" spans="1:15" x14ac:dyDescent="0.25">
      <c r="A799" t="s">
        <v>827</v>
      </c>
      <c r="B799" t="s">
        <v>15</v>
      </c>
      <c r="C799">
        <v>90</v>
      </c>
      <c r="D799" t="s">
        <v>13</v>
      </c>
      <c r="E799">
        <v>84</v>
      </c>
      <c r="F799">
        <v>3.9</v>
      </c>
      <c r="G799" s="8">
        <v>45205</v>
      </c>
      <c r="H799">
        <v>2023</v>
      </c>
      <c r="I799">
        <v>4</v>
      </c>
      <c r="J799">
        <v>10</v>
      </c>
      <c r="K799" t="s">
        <v>1055</v>
      </c>
      <c r="L799" t="s">
        <v>1045</v>
      </c>
      <c r="M799">
        <v>2024</v>
      </c>
      <c r="N799" t="s">
        <v>1074</v>
      </c>
      <c r="O799">
        <v>4</v>
      </c>
    </row>
    <row r="800" spans="1:15" x14ac:dyDescent="0.25">
      <c r="A800" t="s">
        <v>828</v>
      </c>
      <c r="B800" t="s">
        <v>7</v>
      </c>
      <c r="C800">
        <v>134</v>
      </c>
      <c r="D800" t="s">
        <v>10</v>
      </c>
      <c r="E800">
        <v>35</v>
      </c>
      <c r="F800">
        <v>3.4</v>
      </c>
      <c r="G800" s="8">
        <v>45205</v>
      </c>
      <c r="H800">
        <v>2023</v>
      </c>
      <c r="I800">
        <v>4</v>
      </c>
      <c r="J800">
        <v>10</v>
      </c>
      <c r="K800" t="s">
        <v>1055</v>
      </c>
      <c r="L800" t="s">
        <v>1045</v>
      </c>
      <c r="M800">
        <v>2024</v>
      </c>
      <c r="N800" t="s">
        <v>1075</v>
      </c>
      <c r="O800">
        <v>3</v>
      </c>
    </row>
    <row r="801" spans="1:15" x14ac:dyDescent="0.25">
      <c r="A801" t="s">
        <v>829</v>
      </c>
      <c r="B801" t="s">
        <v>12</v>
      </c>
      <c r="C801">
        <v>65</v>
      </c>
      <c r="D801" t="s">
        <v>11</v>
      </c>
      <c r="E801">
        <v>150</v>
      </c>
      <c r="F801">
        <v>5</v>
      </c>
      <c r="G801" s="8">
        <v>45205</v>
      </c>
      <c r="H801">
        <v>2023</v>
      </c>
      <c r="I801">
        <v>4</v>
      </c>
      <c r="J801">
        <v>10</v>
      </c>
      <c r="K801" t="s">
        <v>1055</v>
      </c>
      <c r="L801" t="s">
        <v>1045</v>
      </c>
      <c r="M801">
        <v>2024</v>
      </c>
      <c r="N801" t="s">
        <v>1074</v>
      </c>
      <c r="O801">
        <v>5</v>
      </c>
    </row>
    <row r="802" spans="1:15" x14ac:dyDescent="0.25">
      <c r="A802" t="s">
        <v>830</v>
      </c>
      <c r="B802" t="s">
        <v>23</v>
      </c>
      <c r="C802">
        <v>54</v>
      </c>
      <c r="D802" t="s">
        <v>6</v>
      </c>
      <c r="E802">
        <v>176</v>
      </c>
      <c r="F802">
        <v>4.4000000000000004</v>
      </c>
      <c r="G802" s="8">
        <v>45206</v>
      </c>
      <c r="H802">
        <v>2023</v>
      </c>
      <c r="I802">
        <v>4</v>
      </c>
      <c r="J802">
        <v>10</v>
      </c>
      <c r="K802" t="s">
        <v>1055</v>
      </c>
      <c r="L802" t="s">
        <v>1046</v>
      </c>
      <c r="M802">
        <v>2024</v>
      </c>
      <c r="N802" t="s">
        <v>1076</v>
      </c>
      <c r="O802">
        <v>4</v>
      </c>
    </row>
    <row r="803" spans="1:15" x14ac:dyDescent="0.25">
      <c r="A803" t="s">
        <v>831</v>
      </c>
      <c r="B803" t="s">
        <v>23</v>
      </c>
      <c r="C803">
        <v>90</v>
      </c>
      <c r="D803" t="s">
        <v>6</v>
      </c>
      <c r="E803">
        <v>84</v>
      </c>
      <c r="F803">
        <v>4.3</v>
      </c>
      <c r="G803" s="8">
        <v>45206</v>
      </c>
      <c r="H803">
        <v>2023</v>
      </c>
      <c r="I803">
        <v>4</v>
      </c>
      <c r="J803">
        <v>10</v>
      </c>
      <c r="K803" t="s">
        <v>1055</v>
      </c>
      <c r="L803" t="s">
        <v>1046</v>
      </c>
      <c r="M803">
        <v>2024</v>
      </c>
      <c r="N803" t="s">
        <v>1074</v>
      </c>
      <c r="O803">
        <v>4</v>
      </c>
    </row>
    <row r="804" spans="1:15" x14ac:dyDescent="0.25">
      <c r="A804" t="s">
        <v>832</v>
      </c>
      <c r="B804" t="s">
        <v>15</v>
      </c>
      <c r="C804">
        <v>66</v>
      </c>
      <c r="D804" t="s">
        <v>6</v>
      </c>
      <c r="E804">
        <v>136</v>
      </c>
      <c r="F804">
        <v>4.7</v>
      </c>
      <c r="G804" s="8">
        <v>45206</v>
      </c>
      <c r="H804">
        <v>2023</v>
      </c>
      <c r="I804">
        <v>4</v>
      </c>
      <c r="J804">
        <v>10</v>
      </c>
      <c r="K804" t="s">
        <v>1055</v>
      </c>
      <c r="L804" t="s">
        <v>1046</v>
      </c>
      <c r="M804">
        <v>2024</v>
      </c>
      <c r="N804" t="s">
        <v>1074</v>
      </c>
      <c r="O804">
        <v>5</v>
      </c>
    </row>
    <row r="805" spans="1:15" x14ac:dyDescent="0.25">
      <c r="A805" t="s">
        <v>833</v>
      </c>
      <c r="B805" t="s">
        <v>8</v>
      </c>
      <c r="C805">
        <v>150</v>
      </c>
      <c r="D805" t="s">
        <v>6</v>
      </c>
      <c r="E805">
        <v>70</v>
      </c>
      <c r="F805">
        <v>4.0999999999999996</v>
      </c>
      <c r="G805" s="8">
        <v>45207</v>
      </c>
      <c r="H805">
        <v>2023</v>
      </c>
      <c r="I805">
        <v>4</v>
      </c>
      <c r="J805">
        <v>10</v>
      </c>
      <c r="K805" t="s">
        <v>1055</v>
      </c>
      <c r="L805" t="s">
        <v>1040</v>
      </c>
      <c r="M805">
        <v>2024</v>
      </c>
      <c r="N805" t="s">
        <v>1075</v>
      </c>
      <c r="O805">
        <v>4</v>
      </c>
    </row>
    <row r="806" spans="1:15" x14ac:dyDescent="0.25">
      <c r="A806" t="s">
        <v>834</v>
      </c>
      <c r="B806" t="s">
        <v>24</v>
      </c>
      <c r="C806">
        <v>18</v>
      </c>
      <c r="D806" t="s">
        <v>11</v>
      </c>
      <c r="E806">
        <v>96</v>
      </c>
      <c r="F806">
        <v>4.8</v>
      </c>
      <c r="G806" s="8">
        <v>45207</v>
      </c>
      <c r="H806">
        <v>2023</v>
      </c>
      <c r="I806">
        <v>4</v>
      </c>
      <c r="J806">
        <v>10</v>
      </c>
      <c r="K806" t="s">
        <v>1055</v>
      </c>
      <c r="L806" t="s">
        <v>1040</v>
      </c>
      <c r="M806">
        <v>2024</v>
      </c>
      <c r="N806" t="s">
        <v>1077</v>
      </c>
      <c r="O806">
        <v>5</v>
      </c>
    </row>
    <row r="807" spans="1:15" x14ac:dyDescent="0.25">
      <c r="A807" t="s">
        <v>835</v>
      </c>
      <c r="B807" t="s">
        <v>23</v>
      </c>
      <c r="C807">
        <v>87</v>
      </c>
      <c r="D807" t="s">
        <v>11</v>
      </c>
      <c r="E807">
        <v>23</v>
      </c>
      <c r="F807">
        <v>4.2</v>
      </c>
      <c r="G807" s="8">
        <v>45207</v>
      </c>
      <c r="H807">
        <v>2023</v>
      </c>
      <c r="I807">
        <v>4</v>
      </c>
      <c r="J807">
        <v>10</v>
      </c>
      <c r="K807" t="s">
        <v>1055</v>
      </c>
      <c r="L807" t="s">
        <v>1040</v>
      </c>
      <c r="M807">
        <v>2024</v>
      </c>
      <c r="N807" t="s">
        <v>1074</v>
      </c>
      <c r="O807">
        <v>4</v>
      </c>
    </row>
    <row r="808" spans="1:15" x14ac:dyDescent="0.25">
      <c r="A808" t="s">
        <v>836</v>
      </c>
      <c r="B808" t="s">
        <v>14</v>
      </c>
      <c r="C808">
        <v>94</v>
      </c>
      <c r="D808" t="s">
        <v>6</v>
      </c>
      <c r="E808">
        <v>120</v>
      </c>
      <c r="F808">
        <v>3.4</v>
      </c>
      <c r="G808" s="8">
        <v>45208</v>
      </c>
      <c r="H808">
        <v>2023</v>
      </c>
      <c r="I808">
        <v>4</v>
      </c>
      <c r="J808">
        <v>10</v>
      </c>
      <c r="K808" t="s">
        <v>1055</v>
      </c>
      <c r="L808" t="s">
        <v>1041</v>
      </c>
      <c r="M808">
        <v>2024</v>
      </c>
      <c r="N808" t="s">
        <v>1074</v>
      </c>
      <c r="O808">
        <v>3</v>
      </c>
    </row>
    <row r="809" spans="1:15" x14ac:dyDescent="0.25">
      <c r="A809" t="s">
        <v>837</v>
      </c>
      <c r="B809" t="s">
        <v>16</v>
      </c>
      <c r="C809">
        <v>56</v>
      </c>
      <c r="D809" t="s">
        <v>6</v>
      </c>
      <c r="E809">
        <v>205</v>
      </c>
      <c r="F809">
        <v>3.3</v>
      </c>
      <c r="G809" s="8">
        <v>45208</v>
      </c>
      <c r="H809">
        <v>2023</v>
      </c>
      <c r="I809">
        <v>4</v>
      </c>
      <c r="J809">
        <v>10</v>
      </c>
      <c r="K809" t="s">
        <v>1055</v>
      </c>
      <c r="L809" t="s">
        <v>1041</v>
      </c>
      <c r="M809">
        <v>2024</v>
      </c>
      <c r="N809" t="s">
        <v>1076</v>
      </c>
      <c r="O809">
        <v>3</v>
      </c>
    </row>
    <row r="810" spans="1:15" x14ac:dyDescent="0.25">
      <c r="A810" t="s">
        <v>838</v>
      </c>
      <c r="B810" t="s">
        <v>22</v>
      </c>
      <c r="C810">
        <v>41</v>
      </c>
      <c r="D810" t="s">
        <v>9</v>
      </c>
      <c r="E810">
        <v>42</v>
      </c>
      <c r="F810">
        <v>3.8</v>
      </c>
      <c r="G810" s="8">
        <v>45209</v>
      </c>
      <c r="H810">
        <v>2023</v>
      </c>
      <c r="I810">
        <v>4</v>
      </c>
      <c r="J810">
        <v>10</v>
      </c>
      <c r="K810" t="s">
        <v>1055</v>
      </c>
      <c r="L810" t="s">
        <v>1042</v>
      </c>
      <c r="M810">
        <v>2024</v>
      </c>
      <c r="N810" t="s">
        <v>1076</v>
      </c>
      <c r="O810">
        <v>4</v>
      </c>
    </row>
    <row r="811" spans="1:15" x14ac:dyDescent="0.25">
      <c r="A811" t="s">
        <v>839</v>
      </c>
      <c r="B811" t="s">
        <v>8</v>
      </c>
      <c r="C811">
        <v>119</v>
      </c>
      <c r="D811" t="s">
        <v>13</v>
      </c>
      <c r="E811">
        <v>111</v>
      </c>
      <c r="F811">
        <v>3.9</v>
      </c>
      <c r="G811" s="8">
        <v>45209</v>
      </c>
      <c r="H811">
        <v>2023</v>
      </c>
      <c r="I811">
        <v>4</v>
      </c>
      <c r="J811">
        <v>10</v>
      </c>
      <c r="K811" t="s">
        <v>1055</v>
      </c>
      <c r="L811" t="s">
        <v>1042</v>
      </c>
      <c r="M811">
        <v>2024</v>
      </c>
      <c r="N811" t="s">
        <v>1074</v>
      </c>
      <c r="O811">
        <v>4</v>
      </c>
    </row>
    <row r="812" spans="1:15" x14ac:dyDescent="0.25">
      <c r="A812" t="s">
        <v>840</v>
      </c>
      <c r="B812" t="s">
        <v>21</v>
      </c>
      <c r="C812">
        <v>108</v>
      </c>
      <c r="D812" t="s">
        <v>6</v>
      </c>
      <c r="E812">
        <v>68</v>
      </c>
      <c r="F812">
        <v>2.5</v>
      </c>
      <c r="G812" s="8">
        <v>45209</v>
      </c>
      <c r="H812">
        <v>2023</v>
      </c>
      <c r="I812">
        <v>4</v>
      </c>
      <c r="J812">
        <v>10</v>
      </c>
      <c r="K812" t="s">
        <v>1055</v>
      </c>
      <c r="L812" t="s">
        <v>1042</v>
      </c>
      <c r="M812">
        <v>2024</v>
      </c>
      <c r="N812" t="s">
        <v>1074</v>
      </c>
      <c r="O812">
        <v>2</v>
      </c>
    </row>
    <row r="813" spans="1:15" x14ac:dyDescent="0.25">
      <c r="A813" t="s">
        <v>841</v>
      </c>
      <c r="B813" t="s">
        <v>17</v>
      </c>
      <c r="C813">
        <v>63</v>
      </c>
      <c r="D813" t="s">
        <v>10</v>
      </c>
      <c r="E813">
        <v>172</v>
      </c>
      <c r="F813">
        <v>4.9000000000000004</v>
      </c>
      <c r="G813" s="8">
        <v>45209</v>
      </c>
      <c r="H813">
        <v>2023</v>
      </c>
      <c r="I813">
        <v>4</v>
      </c>
      <c r="J813">
        <v>10</v>
      </c>
      <c r="K813" t="s">
        <v>1055</v>
      </c>
      <c r="L813" t="s">
        <v>1042</v>
      </c>
      <c r="M813">
        <v>2024</v>
      </c>
      <c r="N813" t="s">
        <v>1074</v>
      </c>
      <c r="O813">
        <v>5</v>
      </c>
    </row>
    <row r="814" spans="1:15" x14ac:dyDescent="0.25">
      <c r="A814" t="s">
        <v>842</v>
      </c>
      <c r="B814" t="s">
        <v>19</v>
      </c>
      <c r="C814">
        <v>59</v>
      </c>
      <c r="D814" t="s">
        <v>6</v>
      </c>
      <c r="E814">
        <v>152</v>
      </c>
      <c r="F814">
        <v>4.8</v>
      </c>
      <c r="G814" s="8">
        <v>45209</v>
      </c>
      <c r="H814">
        <v>2023</v>
      </c>
      <c r="I814">
        <v>4</v>
      </c>
      <c r="J814">
        <v>10</v>
      </c>
      <c r="K814" t="s">
        <v>1055</v>
      </c>
      <c r="L814" t="s">
        <v>1042</v>
      </c>
      <c r="M814">
        <v>2024</v>
      </c>
      <c r="N814" t="s">
        <v>1076</v>
      </c>
      <c r="O814">
        <v>5</v>
      </c>
    </row>
    <row r="815" spans="1:15" x14ac:dyDescent="0.25">
      <c r="A815" t="s">
        <v>843</v>
      </c>
      <c r="B815" t="s">
        <v>19</v>
      </c>
      <c r="C815">
        <v>90</v>
      </c>
      <c r="D815" t="s">
        <v>9</v>
      </c>
      <c r="E815">
        <v>48</v>
      </c>
      <c r="F815">
        <v>4.7</v>
      </c>
      <c r="G815" s="8">
        <v>45209</v>
      </c>
      <c r="H815">
        <v>2023</v>
      </c>
      <c r="I815">
        <v>4</v>
      </c>
      <c r="J815">
        <v>10</v>
      </c>
      <c r="K815" t="s">
        <v>1055</v>
      </c>
      <c r="L815" t="s">
        <v>1042</v>
      </c>
      <c r="M815">
        <v>2024</v>
      </c>
      <c r="N815" t="s">
        <v>1074</v>
      </c>
      <c r="O815">
        <v>5</v>
      </c>
    </row>
    <row r="816" spans="1:15" x14ac:dyDescent="0.25">
      <c r="A816" t="s">
        <v>844</v>
      </c>
      <c r="B816" t="s">
        <v>18</v>
      </c>
      <c r="C816">
        <v>55</v>
      </c>
      <c r="D816" t="s">
        <v>9</v>
      </c>
      <c r="E816">
        <v>25</v>
      </c>
      <c r="F816">
        <v>4.7</v>
      </c>
      <c r="G816" s="8">
        <v>45209</v>
      </c>
      <c r="H816">
        <v>2023</v>
      </c>
      <c r="I816">
        <v>4</v>
      </c>
      <c r="J816">
        <v>10</v>
      </c>
      <c r="K816" t="s">
        <v>1055</v>
      </c>
      <c r="L816" t="s">
        <v>1042</v>
      </c>
      <c r="M816">
        <v>2024</v>
      </c>
      <c r="N816" t="s">
        <v>1076</v>
      </c>
      <c r="O816">
        <v>5</v>
      </c>
    </row>
    <row r="817" spans="1:15" x14ac:dyDescent="0.25">
      <c r="A817" t="s">
        <v>845</v>
      </c>
      <c r="B817" t="s">
        <v>21</v>
      </c>
      <c r="C817">
        <v>84</v>
      </c>
      <c r="D817" t="s">
        <v>13</v>
      </c>
      <c r="E817">
        <v>54</v>
      </c>
      <c r="F817">
        <v>3.3</v>
      </c>
      <c r="G817" s="8">
        <v>45210</v>
      </c>
      <c r="H817">
        <v>2023</v>
      </c>
      <c r="I817">
        <v>4</v>
      </c>
      <c r="J817">
        <v>10</v>
      </c>
      <c r="K817" t="s">
        <v>1055</v>
      </c>
      <c r="L817" t="s">
        <v>1043</v>
      </c>
      <c r="M817">
        <v>2024</v>
      </c>
      <c r="N817" t="s">
        <v>1074</v>
      </c>
      <c r="O817">
        <v>3</v>
      </c>
    </row>
    <row r="818" spans="1:15" x14ac:dyDescent="0.25">
      <c r="A818" t="s">
        <v>846</v>
      </c>
      <c r="B818" t="s">
        <v>21</v>
      </c>
      <c r="C818">
        <v>150</v>
      </c>
      <c r="D818" t="s">
        <v>11</v>
      </c>
      <c r="E818">
        <v>108</v>
      </c>
      <c r="F818">
        <v>4.7</v>
      </c>
      <c r="G818" s="8">
        <v>45210</v>
      </c>
      <c r="H818">
        <v>2023</v>
      </c>
      <c r="I818">
        <v>4</v>
      </c>
      <c r="J818">
        <v>10</v>
      </c>
      <c r="K818" t="s">
        <v>1055</v>
      </c>
      <c r="L818" t="s">
        <v>1043</v>
      </c>
      <c r="M818">
        <v>2024</v>
      </c>
      <c r="N818" t="s">
        <v>1075</v>
      </c>
      <c r="O818">
        <v>5</v>
      </c>
    </row>
    <row r="819" spans="1:15" x14ac:dyDescent="0.25">
      <c r="A819" t="s">
        <v>847</v>
      </c>
      <c r="B819" t="s">
        <v>5</v>
      </c>
      <c r="C819">
        <v>69</v>
      </c>
      <c r="D819" t="s">
        <v>6</v>
      </c>
      <c r="E819">
        <v>36</v>
      </c>
      <c r="F819">
        <v>4.5</v>
      </c>
      <c r="G819" s="8">
        <v>45210</v>
      </c>
      <c r="H819">
        <v>2023</v>
      </c>
      <c r="I819">
        <v>4</v>
      </c>
      <c r="J819">
        <v>10</v>
      </c>
      <c r="K819" t="s">
        <v>1055</v>
      </c>
      <c r="L819" t="s">
        <v>1043</v>
      </c>
      <c r="M819">
        <v>2024</v>
      </c>
      <c r="N819" t="s">
        <v>1074</v>
      </c>
      <c r="O819">
        <v>4</v>
      </c>
    </row>
    <row r="820" spans="1:15" x14ac:dyDescent="0.25">
      <c r="A820" t="s">
        <v>848</v>
      </c>
      <c r="B820" t="s">
        <v>20</v>
      </c>
      <c r="C820">
        <v>120</v>
      </c>
      <c r="D820" t="s">
        <v>9</v>
      </c>
      <c r="E820">
        <v>140</v>
      </c>
      <c r="F820">
        <v>4.5999999999999996</v>
      </c>
      <c r="G820" s="8">
        <v>45211</v>
      </c>
      <c r="H820">
        <v>2023</v>
      </c>
      <c r="I820">
        <v>4</v>
      </c>
      <c r="J820">
        <v>10</v>
      </c>
      <c r="K820" t="s">
        <v>1055</v>
      </c>
      <c r="L820" t="s">
        <v>1044</v>
      </c>
      <c r="M820">
        <v>2024</v>
      </c>
      <c r="N820" t="s">
        <v>1074</v>
      </c>
      <c r="O820">
        <v>5</v>
      </c>
    </row>
    <row r="821" spans="1:15" x14ac:dyDescent="0.25">
      <c r="A821" t="s">
        <v>849</v>
      </c>
      <c r="B821" t="s">
        <v>23</v>
      </c>
      <c r="C821">
        <v>126</v>
      </c>
      <c r="D821" t="s">
        <v>13</v>
      </c>
      <c r="E821">
        <v>50</v>
      </c>
      <c r="F821">
        <v>4.8</v>
      </c>
      <c r="G821" s="8">
        <v>45211</v>
      </c>
      <c r="H821">
        <v>2023</v>
      </c>
      <c r="I821">
        <v>4</v>
      </c>
      <c r="J821">
        <v>10</v>
      </c>
      <c r="K821" t="s">
        <v>1055</v>
      </c>
      <c r="L821" t="s">
        <v>1044</v>
      </c>
      <c r="M821">
        <v>2024</v>
      </c>
      <c r="N821" t="s">
        <v>1075</v>
      </c>
      <c r="O821">
        <v>5</v>
      </c>
    </row>
    <row r="822" spans="1:15" x14ac:dyDescent="0.25">
      <c r="A822" t="s">
        <v>850</v>
      </c>
      <c r="B822" t="s">
        <v>5</v>
      </c>
      <c r="C822">
        <v>120</v>
      </c>
      <c r="D822" t="s">
        <v>10</v>
      </c>
      <c r="E822">
        <v>195</v>
      </c>
      <c r="F822">
        <v>4.3</v>
      </c>
      <c r="G822" s="8">
        <v>45211</v>
      </c>
      <c r="H822">
        <v>2023</v>
      </c>
      <c r="I822">
        <v>4</v>
      </c>
      <c r="J822">
        <v>10</v>
      </c>
      <c r="K822" t="s">
        <v>1055</v>
      </c>
      <c r="L822" t="s">
        <v>1044</v>
      </c>
      <c r="M822">
        <v>2024</v>
      </c>
      <c r="N822" t="s">
        <v>1074</v>
      </c>
      <c r="O822">
        <v>4</v>
      </c>
    </row>
    <row r="823" spans="1:15" x14ac:dyDescent="0.25">
      <c r="A823" t="s">
        <v>851</v>
      </c>
      <c r="B823" t="s">
        <v>23</v>
      </c>
      <c r="C823">
        <v>139</v>
      </c>
      <c r="D823" t="s">
        <v>9</v>
      </c>
      <c r="E823">
        <v>48</v>
      </c>
      <c r="F823">
        <v>4.7</v>
      </c>
      <c r="G823" s="8">
        <v>45212</v>
      </c>
      <c r="H823">
        <v>2023</v>
      </c>
      <c r="I823">
        <v>4</v>
      </c>
      <c r="J823">
        <v>10</v>
      </c>
      <c r="K823" t="s">
        <v>1055</v>
      </c>
      <c r="L823" t="s">
        <v>1045</v>
      </c>
      <c r="M823">
        <v>2024</v>
      </c>
      <c r="N823" t="s">
        <v>1075</v>
      </c>
      <c r="O823">
        <v>5</v>
      </c>
    </row>
    <row r="824" spans="1:15" x14ac:dyDescent="0.25">
      <c r="A824" t="s">
        <v>852</v>
      </c>
      <c r="B824" t="s">
        <v>18</v>
      </c>
      <c r="C824">
        <v>124</v>
      </c>
      <c r="D824" t="s">
        <v>6</v>
      </c>
      <c r="E824">
        <v>29</v>
      </c>
      <c r="F824">
        <v>4.8</v>
      </c>
      <c r="G824" s="8">
        <v>45213</v>
      </c>
      <c r="H824">
        <v>2023</v>
      </c>
      <c r="I824">
        <v>4</v>
      </c>
      <c r="J824">
        <v>10</v>
      </c>
      <c r="K824" t="s">
        <v>1055</v>
      </c>
      <c r="L824" t="s">
        <v>1046</v>
      </c>
      <c r="M824">
        <v>2024</v>
      </c>
      <c r="N824" t="s">
        <v>1075</v>
      </c>
      <c r="O824">
        <v>5</v>
      </c>
    </row>
    <row r="825" spans="1:15" x14ac:dyDescent="0.25">
      <c r="A825" t="s">
        <v>853</v>
      </c>
      <c r="B825" t="s">
        <v>20</v>
      </c>
      <c r="C825">
        <v>108</v>
      </c>
      <c r="D825" t="s">
        <v>10</v>
      </c>
      <c r="E825">
        <v>44</v>
      </c>
      <c r="F825">
        <v>4.7</v>
      </c>
      <c r="G825" s="8">
        <v>45213</v>
      </c>
      <c r="H825">
        <v>2023</v>
      </c>
      <c r="I825">
        <v>4</v>
      </c>
      <c r="J825">
        <v>10</v>
      </c>
      <c r="K825" t="s">
        <v>1055</v>
      </c>
      <c r="L825" t="s">
        <v>1046</v>
      </c>
      <c r="M825">
        <v>2024</v>
      </c>
      <c r="N825" t="s">
        <v>1074</v>
      </c>
      <c r="O825">
        <v>5</v>
      </c>
    </row>
    <row r="826" spans="1:15" x14ac:dyDescent="0.25">
      <c r="A826" t="s">
        <v>854</v>
      </c>
      <c r="B826" t="s">
        <v>12</v>
      </c>
      <c r="C826">
        <v>132</v>
      </c>
      <c r="D826" t="s">
        <v>11</v>
      </c>
      <c r="E826">
        <v>140</v>
      </c>
      <c r="F826">
        <v>4.3</v>
      </c>
      <c r="G826" s="8">
        <v>45213</v>
      </c>
      <c r="H826">
        <v>2023</v>
      </c>
      <c r="I826">
        <v>4</v>
      </c>
      <c r="J826">
        <v>10</v>
      </c>
      <c r="K826" t="s">
        <v>1055</v>
      </c>
      <c r="L826" t="s">
        <v>1046</v>
      </c>
      <c r="M826">
        <v>2024</v>
      </c>
      <c r="N826" t="s">
        <v>1075</v>
      </c>
      <c r="O826">
        <v>4</v>
      </c>
    </row>
    <row r="827" spans="1:15" x14ac:dyDescent="0.25">
      <c r="A827" t="s">
        <v>855</v>
      </c>
      <c r="B827" t="s">
        <v>17</v>
      </c>
      <c r="C827">
        <v>67</v>
      </c>
      <c r="D827" t="s">
        <v>11</v>
      </c>
      <c r="E827">
        <v>105</v>
      </c>
      <c r="F827">
        <v>3.8</v>
      </c>
      <c r="G827" s="8">
        <v>45213</v>
      </c>
      <c r="H827">
        <v>2023</v>
      </c>
      <c r="I827">
        <v>4</v>
      </c>
      <c r="J827">
        <v>10</v>
      </c>
      <c r="K827" t="s">
        <v>1055</v>
      </c>
      <c r="L827" t="s">
        <v>1046</v>
      </c>
      <c r="M827">
        <v>2024</v>
      </c>
      <c r="N827" t="s">
        <v>1074</v>
      </c>
      <c r="O827">
        <v>4</v>
      </c>
    </row>
    <row r="828" spans="1:15" x14ac:dyDescent="0.25">
      <c r="A828" t="s">
        <v>856</v>
      </c>
      <c r="B828" t="s">
        <v>15</v>
      </c>
      <c r="C828">
        <v>125</v>
      </c>
      <c r="D828" t="s">
        <v>11</v>
      </c>
      <c r="E828">
        <v>82</v>
      </c>
      <c r="F828">
        <v>4.5999999999999996</v>
      </c>
      <c r="G828" s="8">
        <v>45213</v>
      </c>
      <c r="H828">
        <v>2023</v>
      </c>
      <c r="I828">
        <v>4</v>
      </c>
      <c r="J828">
        <v>10</v>
      </c>
      <c r="K828" t="s">
        <v>1055</v>
      </c>
      <c r="L828" t="s">
        <v>1046</v>
      </c>
      <c r="M828">
        <v>2024</v>
      </c>
      <c r="N828" t="s">
        <v>1075</v>
      </c>
      <c r="O828">
        <v>5</v>
      </c>
    </row>
    <row r="829" spans="1:15" x14ac:dyDescent="0.25">
      <c r="A829" t="s">
        <v>857</v>
      </c>
      <c r="B829" t="s">
        <v>20</v>
      </c>
      <c r="C829">
        <v>23</v>
      </c>
      <c r="D829" t="s">
        <v>10</v>
      </c>
      <c r="E829">
        <v>24</v>
      </c>
      <c r="F829">
        <v>2.9</v>
      </c>
      <c r="G829" s="8">
        <v>45213</v>
      </c>
      <c r="H829">
        <v>2023</v>
      </c>
      <c r="I829">
        <v>4</v>
      </c>
      <c r="J829">
        <v>10</v>
      </c>
      <c r="K829" t="s">
        <v>1055</v>
      </c>
      <c r="L829" t="s">
        <v>1046</v>
      </c>
      <c r="M829">
        <v>2024</v>
      </c>
      <c r="N829" t="s">
        <v>1077</v>
      </c>
      <c r="O829">
        <v>3</v>
      </c>
    </row>
    <row r="830" spans="1:15" x14ac:dyDescent="0.25">
      <c r="A830" t="s">
        <v>858</v>
      </c>
      <c r="B830" t="s">
        <v>8</v>
      </c>
      <c r="C830">
        <v>131</v>
      </c>
      <c r="D830" t="s">
        <v>6</v>
      </c>
      <c r="E830">
        <v>205</v>
      </c>
      <c r="F830">
        <v>4.8</v>
      </c>
      <c r="G830" s="8">
        <v>45214</v>
      </c>
      <c r="H830">
        <v>2023</v>
      </c>
      <c r="I830">
        <v>4</v>
      </c>
      <c r="J830">
        <v>10</v>
      </c>
      <c r="K830" t="s">
        <v>1055</v>
      </c>
      <c r="L830" t="s">
        <v>1040</v>
      </c>
      <c r="M830">
        <v>2024</v>
      </c>
      <c r="N830" t="s">
        <v>1075</v>
      </c>
      <c r="O830">
        <v>5</v>
      </c>
    </row>
    <row r="831" spans="1:15" x14ac:dyDescent="0.25">
      <c r="A831" t="s">
        <v>859</v>
      </c>
      <c r="B831" t="s">
        <v>12</v>
      </c>
      <c r="C831">
        <v>56</v>
      </c>
      <c r="D831" t="s">
        <v>9</v>
      </c>
      <c r="E831">
        <v>225</v>
      </c>
      <c r="F831">
        <v>4.9000000000000004</v>
      </c>
      <c r="G831" s="8">
        <v>45214</v>
      </c>
      <c r="H831">
        <v>2023</v>
      </c>
      <c r="I831">
        <v>4</v>
      </c>
      <c r="J831">
        <v>10</v>
      </c>
      <c r="K831" t="s">
        <v>1055</v>
      </c>
      <c r="L831" t="s">
        <v>1040</v>
      </c>
      <c r="M831">
        <v>2024</v>
      </c>
      <c r="N831" t="s">
        <v>1076</v>
      </c>
      <c r="O831">
        <v>5</v>
      </c>
    </row>
    <row r="832" spans="1:15" x14ac:dyDescent="0.25">
      <c r="A832" t="s">
        <v>860</v>
      </c>
      <c r="B832" t="s">
        <v>8</v>
      </c>
      <c r="C832">
        <v>70</v>
      </c>
      <c r="D832" t="s">
        <v>6</v>
      </c>
      <c r="E832">
        <v>50</v>
      </c>
      <c r="F832">
        <v>3.4</v>
      </c>
      <c r="G832" s="8">
        <v>45214</v>
      </c>
      <c r="H832">
        <v>2023</v>
      </c>
      <c r="I832">
        <v>4</v>
      </c>
      <c r="J832">
        <v>10</v>
      </c>
      <c r="K832" t="s">
        <v>1055</v>
      </c>
      <c r="L832" t="s">
        <v>1040</v>
      </c>
      <c r="M832">
        <v>2024</v>
      </c>
      <c r="N832" t="s">
        <v>1074</v>
      </c>
      <c r="O832">
        <v>3</v>
      </c>
    </row>
    <row r="833" spans="1:15" x14ac:dyDescent="0.25">
      <c r="A833" t="s">
        <v>861</v>
      </c>
      <c r="B833" t="s">
        <v>8</v>
      </c>
      <c r="C833">
        <v>55</v>
      </c>
      <c r="D833" t="s">
        <v>11</v>
      </c>
      <c r="E833">
        <v>80</v>
      </c>
      <c r="F833">
        <v>4.3</v>
      </c>
      <c r="G833" s="8">
        <v>45214</v>
      </c>
      <c r="H833">
        <v>2023</v>
      </c>
      <c r="I833">
        <v>4</v>
      </c>
      <c r="J833">
        <v>10</v>
      </c>
      <c r="K833" t="s">
        <v>1055</v>
      </c>
      <c r="L833" t="s">
        <v>1040</v>
      </c>
      <c r="M833">
        <v>2024</v>
      </c>
      <c r="N833" t="s">
        <v>1076</v>
      </c>
      <c r="O833">
        <v>4</v>
      </c>
    </row>
    <row r="834" spans="1:15" x14ac:dyDescent="0.25">
      <c r="A834" t="s">
        <v>862</v>
      </c>
      <c r="B834" t="s">
        <v>15</v>
      </c>
      <c r="C834">
        <v>77</v>
      </c>
      <c r="D834" t="s">
        <v>9</v>
      </c>
      <c r="E834">
        <v>78</v>
      </c>
      <c r="F834">
        <v>3.9</v>
      </c>
      <c r="G834" s="8">
        <v>45214</v>
      </c>
      <c r="H834">
        <v>2023</v>
      </c>
      <c r="I834">
        <v>4</v>
      </c>
      <c r="J834">
        <v>10</v>
      </c>
      <c r="K834" t="s">
        <v>1055</v>
      </c>
      <c r="L834" t="s">
        <v>1040</v>
      </c>
      <c r="M834">
        <v>2024</v>
      </c>
      <c r="N834" t="s">
        <v>1074</v>
      </c>
      <c r="O834">
        <v>4</v>
      </c>
    </row>
    <row r="835" spans="1:15" x14ac:dyDescent="0.25">
      <c r="A835" t="s">
        <v>863</v>
      </c>
      <c r="B835" t="s">
        <v>21</v>
      </c>
      <c r="C835">
        <v>133</v>
      </c>
      <c r="D835" t="s">
        <v>6</v>
      </c>
      <c r="E835">
        <v>40</v>
      </c>
      <c r="F835">
        <v>3.9</v>
      </c>
      <c r="G835" s="8">
        <v>45215</v>
      </c>
      <c r="H835">
        <v>2023</v>
      </c>
      <c r="I835">
        <v>4</v>
      </c>
      <c r="J835">
        <v>10</v>
      </c>
      <c r="K835" t="s">
        <v>1055</v>
      </c>
      <c r="L835" t="s">
        <v>1041</v>
      </c>
      <c r="M835">
        <v>2024</v>
      </c>
      <c r="N835" t="s">
        <v>1075</v>
      </c>
      <c r="O835">
        <v>4</v>
      </c>
    </row>
    <row r="836" spans="1:15" x14ac:dyDescent="0.25">
      <c r="A836" t="s">
        <v>864</v>
      </c>
      <c r="B836" t="s">
        <v>15</v>
      </c>
      <c r="C836">
        <v>77</v>
      </c>
      <c r="D836" t="s">
        <v>9</v>
      </c>
      <c r="E836">
        <v>176</v>
      </c>
      <c r="F836">
        <v>1.5</v>
      </c>
      <c r="G836" s="8">
        <v>45215</v>
      </c>
      <c r="H836">
        <v>2023</v>
      </c>
      <c r="I836">
        <v>4</v>
      </c>
      <c r="J836">
        <v>10</v>
      </c>
      <c r="K836" t="s">
        <v>1055</v>
      </c>
      <c r="L836" t="s">
        <v>1041</v>
      </c>
      <c r="M836">
        <v>2024</v>
      </c>
      <c r="N836" t="s">
        <v>1074</v>
      </c>
      <c r="O836">
        <v>2</v>
      </c>
    </row>
    <row r="837" spans="1:15" x14ac:dyDescent="0.25">
      <c r="A837" t="s">
        <v>865</v>
      </c>
      <c r="B837" t="s">
        <v>19</v>
      </c>
      <c r="C837">
        <v>103</v>
      </c>
      <c r="D837" t="s">
        <v>6</v>
      </c>
      <c r="E837">
        <v>78</v>
      </c>
      <c r="F837">
        <v>3</v>
      </c>
      <c r="G837" s="8">
        <v>45215</v>
      </c>
      <c r="H837">
        <v>2023</v>
      </c>
      <c r="I837">
        <v>4</v>
      </c>
      <c r="J837">
        <v>10</v>
      </c>
      <c r="K837" t="s">
        <v>1055</v>
      </c>
      <c r="L837" t="s">
        <v>1041</v>
      </c>
      <c r="M837">
        <v>2024</v>
      </c>
      <c r="N837" t="s">
        <v>1074</v>
      </c>
      <c r="O837">
        <v>3</v>
      </c>
    </row>
    <row r="838" spans="1:15" x14ac:dyDescent="0.25">
      <c r="A838" t="s">
        <v>866</v>
      </c>
      <c r="B838" t="s">
        <v>5</v>
      </c>
      <c r="C838">
        <v>32</v>
      </c>
      <c r="D838" t="s">
        <v>9</v>
      </c>
      <c r="E838">
        <v>42</v>
      </c>
      <c r="F838">
        <v>4.2</v>
      </c>
      <c r="G838" s="8">
        <v>45215</v>
      </c>
      <c r="H838">
        <v>2023</v>
      </c>
      <c r="I838">
        <v>4</v>
      </c>
      <c r="J838">
        <v>10</v>
      </c>
      <c r="K838" t="s">
        <v>1055</v>
      </c>
      <c r="L838" t="s">
        <v>1041</v>
      </c>
      <c r="M838">
        <v>2024</v>
      </c>
      <c r="N838" t="s">
        <v>1076</v>
      </c>
      <c r="O838">
        <v>4</v>
      </c>
    </row>
    <row r="839" spans="1:15" x14ac:dyDescent="0.25">
      <c r="A839" t="s">
        <v>867</v>
      </c>
      <c r="B839" t="s">
        <v>21</v>
      </c>
      <c r="C839">
        <v>30</v>
      </c>
      <c r="D839" t="s">
        <v>6</v>
      </c>
      <c r="E839">
        <v>38</v>
      </c>
      <c r="F839">
        <v>3.7</v>
      </c>
      <c r="G839" s="8">
        <v>45215</v>
      </c>
      <c r="H839">
        <v>2023</v>
      </c>
      <c r="I839">
        <v>4</v>
      </c>
      <c r="J839">
        <v>10</v>
      </c>
      <c r="K839" t="s">
        <v>1055</v>
      </c>
      <c r="L839" t="s">
        <v>1041</v>
      </c>
      <c r="M839">
        <v>2024</v>
      </c>
      <c r="N839" t="s">
        <v>1077</v>
      </c>
      <c r="O839">
        <v>4</v>
      </c>
    </row>
    <row r="840" spans="1:15" x14ac:dyDescent="0.25">
      <c r="A840" t="s">
        <v>868</v>
      </c>
      <c r="B840" t="s">
        <v>23</v>
      </c>
      <c r="C840">
        <v>87</v>
      </c>
      <c r="D840" t="s">
        <v>13</v>
      </c>
      <c r="E840">
        <v>27</v>
      </c>
      <c r="F840">
        <v>4.2</v>
      </c>
      <c r="G840" s="8">
        <v>45215</v>
      </c>
      <c r="H840">
        <v>2023</v>
      </c>
      <c r="I840">
        <v>4</v>
      </c>
      <c r="J840">
        <v>10</v>
      </c>
      <c r="K840" t="s">
        <v>1055</v>
      </c>
      <c r="L840" t="s">
        <v>1041</v>
      </c>
      <c r="M840">
        <v>2024</v>
      </c>
      <c r="N840" t="s">
        <v>1074</v>
      </c>
      <c r="O840">
        <v>4</v>
      </c>
    </row>
    <row r="841" spans="1:15" x14ac:dyDescent="0.25">
      <c r="A841" t="s">
        <v>869</v>
      </c>
      <c r="B841" t="s">
        <v>15</v>
      </c>
      <c r="C841">
        <v>137</v>
      </c>
      <c r="D841" t="s">
        <v>10</v>
      </c>
      <c r="E841">
        <v>45</v>
      </c>
      <c r="F841">
        <v>4.4000000000000004</v>
      </c>
      <c r="G841" s="8">
        <v>45216</v>
      </c>
      <c r="H841">
        <v>2023</v>
      </c>
      <c r="I841">
        <v>4</v>
      </c>
      <c r="J841">
        <v>10</v>
      </c>
      <c r="K841" t="s">
        <v>1055</v>
      </c>
      <c r="L841" t="s">
        <v>1042</v>
      </c>
      <c r="M841">
        <v>2024</v>
      </c>
      <c r="N841" t="s">
        <v>1075</v>
      </c>
      <c r="O841">
        <v>4</v>
      </c>
    </row>
    <row r="842" spans="1:15" x14ac:dyDescent="0.25">
      <c r="A842" t="s">
        <v>870</v>
      </c>
      <c r="B842" t="s">
        <v>14</v>
      </c>
      <c r="C842">
        <v>96</v>
      </c>
      <c r="D842" t="s">
        <v>6</v>
      </c>
      <c r="E842">
        <v>215</v>
      </c>
      <c r="F842">
        <v>4</v>
      </c>
      <c r="G842" s="8">
        <v>45216</v>
      </c>
      <c r="H842">
        <v>2023</v>
      </c>
      <c r="I842">
        <v>4</v>
      </c>
      <c r="J842">
        <v>10</v>
      </c>
      <c r="K842" t="s">
        <v>1055</v>
      </c>
      <c r="L842" t="s">
        <v>1042</v>
      </c>
      <c r="M842">
        <v>2024</v>
      </c>
      <c r="N842" t="s">
        <v>1074</v>
      </c>
      <c r="O842">
        <v>4</v>
      </c>
    </row>
    <row r="843" spans="1:15" x14ac:dyDescent="0.25">
      <c r="A843" t="s">
        <v>871</v>
      </c>
      <c r="B843" t="s">
        <v>18</v>
      </c>
      <c r="C843">
        <v>155</v>
      </c>
      <c r="D843" t="s">
        <v>6</v>
      </c>
      <c r="E843">
        <v>72</v>
      </c>
      <c r="F843">
        <v>4.7</v>
      </c>
      <c r="G843" s="8">
        <v>45217</v>
      </c>
      <c r="H843">
        <v>2023</v>
      </c>
      <c r="I843">
        <v>4</v>
      </c>
      <c r="J843">
        <v>10</v>
      </c>
      <c r="K843" t="s">
        <v>1055</v>
      </c>
      <c r="L843" t="s">
        <v>1043</v>
      </c>
      <c r="M843">
        <v>2024</v>
      </c>
      <c r="N843" t="s">
        <v>1075</v>
      </c>
      <c r="O843">
        <v>5</v>
      </c>
    </row>
    <row r="844" spans="1:15" x14ac:dyDescent="0.25">
      <c r="A844" t="s">
        <v>872</v>
      </c>
      <c r="B844" t="s">
        <v>21</v>
      </c>
      <c r="C844">
        <v>173</v>
      </c>
      <c r="D844" t="s">
        <v>11</v>
      </c>
      <c r="E844">
        <v>160</v>
      </c>
      <c r="F844">
        <v>2.8</v>
      </c>
      <c r="G844" s="8">
        <v>45217</v>
      </c>
      <c r="H844">
        <v>2023</v>
      </c>
      <c r="I844">
        <v>4</v>
      </c>
      <c r="J844">
        <v>10</v>
      </c>
      <c r="K844" t="s">
        <v>1055</v>
      </c>
      <c r="L844" t="s">
        <v>1043</v>
      </c>
      <c r="M844">
        <v>2024</v>
      </c>
      <c r="N844" t="s">
        <v>1075</v>
      </c>
      <c r="O844">
        <v>3</v>
      </c>
    </row>
    <row r="845" spans="1:15" x14ac:dyDescent="0.25">
      <c r="A845" t="s">
        <v>873</v>
      </c>
      <c r="B845" t="s">
        <v>18</v>
      </c>
      <c r="C845">
        <v>127</v>
      </c>
      <c r="D845" t="s">
        <v>6</v>
      </c>
      <c r="E845">
        <v>165</v>
      </c>
      <c r="F845">
        <v>2.5</v>
      </c>
      <c r="G845" s="8">
        <v>45217</v>
      </c>
      <c r="H845">
        <v>2023</v>
      </c>
      <c r="I845">
        <v>4</v>
      </c>
      <c r="J845">
        <v>10</v>
      </c>
      <c r="K845" t="s">
        <v>1055</v>
      </c>
      <c r="L845" t="s">
        <v>1043</v>
      </c>
      <c r="M845">
        <v>2024</v>
      </c>
      <c r="N845" t="s">
        <v>1075</v>
      </c>
      <c r="O845">
        <v>2</v>
      </c>
    </row>
    <row r="846" spans="1:15" x14ac:dyDescent="0.25">
      <c r="A846" t="s">
        <v>874</v>
      </c>
      <c r="B846" t="s">
        <v>12</v>
      </c>
      <c r="C846">
        <v>117</v>
      </c>
      <c r="D846" t="s">
        <v>11</v>
      </c>
      <c r="E846">
        <v>120</v>
      </c>
      <c r="F846">
        <v>3.4</v>
      </c>
      <c r="G846" s="8">
        <v>45217</v>
      </c>
      <c r="H846">
        <v>2023</v>
      </c>
      <c r="I846">
        <v>4</v>
      </c>
      <c r="J846">
        <v>10</v>
      </c>
      <c r="K846" t="s">
        <v>1055</v>
      </c>
      <c r="L846" t="s">
        <v>1043</v>
      </c>
      <c r="M846">
        <v>2024</v>
      </c>
      <c r="N846" t="s">
        <v>1074</v>
      </c>
      <c r="O846">
        <v>3</v>
      </c>
    </row>
    <row r="847" spans="1:15" x14ac:dyDescent="0.25">
      <c r="A847" t="s">
        <v>875</v>
      </c>
      <c r="B847" t="s">
        <v>20</v>
      </c>
      <c r="C847">
        <v>133</v>
      </c>
      <c r="D847" t="s">
        <v>9</v>
      </c>
      <c r="E847">
        <v>117</v>
      </c>
      <c r="F847">
        <v>4.8</v>
      </c>
      <c r="G847" s="8">
        <v>45217</v>
      </c>
      <c r="H847">
        <v>2023</v>
      </c>
      <c r="I847">
        <v>4</v>
      </c>
      <c r="J847">
        <v>10</v>
      </c>
      <c r="K847" t="s">
        <v>1055</v>
      </c>
      <c r="L847" t="s">
        <v>1043</v>
      </c>
      <c r="M847">
        <v>2024</v>
      </c>
      <c r="N847" t="s">
        <v>1075</v>
      </c>
      <c r="O847">
        <v>5</v>
      </c>
    </row>
    <row r="848" spans="1:15" x14ac:dyDescent="0.25">
      <c r="A848" t="s">
        <v>876</v>
      </c>
      <c r="B848" t="s">
        <v>24</v>
      </c>
      <c r="C848">
        <v>166</v>
      </c>
      <c r="D848" t="s">
        <v>13</v>
      </c>
      <c r="E848">
        <v>29</v>
      </c>
      <c r="F848">
        <v>4.3</v>
      </c>
      <c r="G848" s="8">
        <v>45218</v>
      </c>
      <c r="H848">
        <v>2023</v>
      </c>
      <c r="I848">
        <v>4</v>
      </c>
      <c r="J848">
        <v>10</v>
      </c>
      <c r="K848" t="s">
        <v>1055</v>
      </c>
      <c r="L848" t="s">
        <v>1044</v>
      </c>
      <c r="M848">
        <v>2024</v>
      </c>
      <c r="N848" t="s">
        <v>1075</v>
      </c>
      <c r="O848">
        <v>4</v>
      </c>
    </row>
    <row r="849" spans="1:15" x14ac:dyDescent="0.25">
      <c r="A849" t="s">
        <v>877</v>
      </c>
      <c r="B849" t="s">
        <v>20</v>
      </c>
      <c r="C849">
        <v>50</v>
      </c>
      <c r="D849" t="s">
        <v>11</v>
      </c>
      <c r="E849">
        <v>64</v>
      </c>
      <c r="F849">
        <v>4.5</v>
      </c>
      <c r="G849" s="8">
        <v>45218</v>
      </c>
      <c r="H849">
        <v>2023</v>
      </c>
      <c r="I849">
        <v>4</v>
      </c>
      <c r="J849">
        <v>10</v>
      </c>
      <c r="K849" t="s">
        <v>1055</v>
      </c>
      <c r="L849" t="s">
        <v>1044</v>
      </c>
      <c r="M849">
        <v>2024</v>
      </c>
      <c r="N849" t="s">
        <v>1076</v>
      </c>
      <c r="O849">
        <v>4</v>
      </c>
    </row>
    <row r="850" spans="1:15" x14ac:dyDescent="0.25">
      <c r="A850" t="s">
        <v>878</v>
      </c>
      <c r="B850" t="s">
        <v>19</v>
      </c>
      <c r="C850">
        <v>43</v>
      </c>
      <c r="D850" t="s">
        <v>9</v>
      </c>
      <c r="E850">
        <v>84</v>
      </c>
      <c r="F850">
        <v>3.6</v>
      </c>
      <c r="G850" s="8">
        <v>45218</v>
      </c>
      <c r="H850">
        <v>2023</v>
      </c>
      <c r="I850">
        <v>4</v>
      </c>
      <c r="J850">
        <v>10</v>
      </c>
      <c r="K850" t="s">
        <v>1055</v>
      </c>
      <c r="L850" t="s">
        <v>1044</v>
      </c>
      <c r="M850">
        <v>2024</v>
      </c>
      <c r="N850" t="s">
        <v>1076</v>
      </c>
      <c r="O850">
        <v>4</v>
      </c>
    </row>
    <row r="851" spans="1:15" x14ac:dyDescent="0.25">
      <c r="A851" t="s">
        <v>879</v>
      </c>
      <c r="B851" t="s">
        <v>14</v>
      </c>
      <c r="C851">
        <v>124</v>
      </c>
      <c r="D851" t="s">
        <v>6</v>
      </c>
      <c r="E851">
        <v>42</v>
      </c>
      <c r="F851">
        <v>3.7</v>
      </c>
      <c r="G851" s="8">
        <v>45218</v>
      </c>
      <c r="H851">
        <v>2023</v>
      </c>
      <c r="I851">
        <v>4</v>
      </c>
      <c r="J851">
        <v>10</v>
      </c>
      <c r="K851" t="s">
        <v>1055</v>
      </c>
      <c r="L851" t="s">
        <v>1044</v>
      </c>
      <c r="M851">
        <v>2024</v>
      </c>
      <c r="N851" t="s">
        <v>1075</v>
      </c>
      <c r="O851">
        <v>4</v>
      </c>
    </row>
    <row r="852" spans="1:15" x14ac:dyDescent="0.25">
      <c r="A852" t="s">
        <v>880</v>
      </c>
      <c r="B852" t="s">
        <v>21</v>
      </c>
      <c r="C852">
        <v>94</v>
      </c>
      <c r="D852" t="s">
        <v>6</v>
      </c>
      <c r="E852">
        <v>120</v>
      </c>
      <c r="F852">
        <v>3.5</v>
      </c>
      <c r="G852" s="8">
        <v>45218</v>
      </c>
      <c r="H852">
        <v>2023</v>
      </c>
      <c r="I852">
        <v>4</v>
      </c>
      <c r="J852">
        <v>10</v>
      </c>
      <c r="K852" t="s">
        <v>1055</v>
      </c>
      <c r="L852" t="s">
        <v>1044</v>
      </c>
      <c r="M852">
        <v>2024</v>
      </c>
      <c r="N852" t="s">
        <v>1074</v>
      </c>
      <c r="O852">
        <v>4</v>
      </c>
    </row>
    <row r="853" spans="1:15" x14ac:dyDescent="0.25">
      <c r="A853" t="s">
        <v>881</v>
      </c>
      <c r="B853" t="s">
        <v>19</v>
      </c>
      <c r="C853">
        <v>126</v>
      </c>
      <c r="D853" t="s">
        <v>13</v>
      </c>
      <c r="E853">
        <v>80</v>
      </c>
      <c r="F853">
        <v>4.7</v>
      </c>
      <c r="G853" s="8">
        <v>45219</v>
      </c>
      <c r="H853">
        <v>2023</v>
      </c>
      <c r="I853">
        <v>4</v>
      </c>
      <c r="J853">
        <v>10</v>
      </c>
      <c r="K853" t="s">
        <v>1055</v>
      </c>
      <c r="L853" t="s">
        <v>1045</v>
      </c>
      <c r="M853">
        <v>2024</v>
      </c>
      <c r="N853" t="s">
        <v>1075</v>
      </c>
      <c r="O853">
        <v>5</v>
      </c>
    </row>
    <row r="854" spans="1:15" x14ac:dyDescent="0.25">
      <c r="A854" t="s">
        <v>882</v>
      </c>
      <c r="B854" t="s">
        <v>24</v>
      </c>
      <c r="C854">
        <v>105</v>
      </c>
      <c r="D854" t="s">
        <v>11</v>
      </c>
      <c r="E854">
        <v>185</v>
      </c>
      <c r="F854">
        <v>3.5</v>
      </c>
      <c r="G854" s="8">
        <v>45219</v>
      </c>
      <c r="H854">
        <v>2023</v>
      </c>
      <c r="I854">
        <v>4</v>
      </c>
      <c r="J854">
        <v>10</v>
      </c>
      <c r="K854" t="s">
        <v>1055</v>
      </c>
      <c r="L854" t="s">
        <v>1045</v>
      </c>
      <c r="M854">
        <v>2024</v>
      </c>
      <c r="N854" t="s">
        <v>1074</v>
      </c>
      <c r="O854">
        <v>4</v>
      </c>
    </row>
    <row r="855" spans="1:15" x14ac:dyDescent="0.25">
      <c r="A855" t="s">
        <v>883</v>
      </c>
      <c r="B855" t="s">
        <v>8</v>
      </c>
      <c r="C855">
        <v>60</v>
      </c>
      <c r="D855" t="s">
        <v>10</v>
      </c>
      <c r="E855">
        <v>135</v>
      </c>
      <c r="F855">
        <v>3.9</v>
      </c>
      <c r="G855" s="8">
        <v>45220</v>
      </c>
      <c r="H855">
        <v>2023</v>
      </c>
      <c r="I855">
        <v>4</v>
      </c>
      <c r="J855">
        <v>10</v>
      </c>
      <c r="K855" t="s">
        <v>1055</v>
      </c>
      <c r="L855" t="s">
        <v>1046</v>
      </c>
      <c r="M855">
        <v>2024</v>
      </c>
      <c r="N855" t="s">
        <v>1076</v>
      </c>
      <c r="O855">
        <v>4</v>
      </c>
    </row>
    <row r="856" spans="1:15" x14ac:dyDescent="0.25">
      <c r="A856" t="s">
        <v>884</v>
      </c>
      <c r="B856" t="s">
        <v>8</v>
      </c>
      <c r="C856">
        <v>72</v>
      </c>
      <c r="D856" t="s">
        <v>11</v>
      </c>
      <c r="E856">
        <v>20</v>
      </c>
      <c r="F856">
        <v>4.8</v>
      </c>
      <c r="G856" s="8">
        <v>45220</v>
      </c>
      <c r="H856">
        <v>2023</v>
      </c>
      <c r="I856">
        <v>4</v>
      </c>
      <c r="J856">
        <v>10</v>
      </c>
      <c r="K856" t="s">
        <v>1055</v>
      </c>
      <c r="L856" t="s">
        <v>1046</v>
      </c>
      <c r="M856">
        <v>2024</v>
      </c>
      <c r="N856" t="s">
        <v>1074</v>
      </c>
      <c r="O856">
        <v>5</v>
      </c>
    </row>
    <row r="857" spans="1:15" x14ac:dyDescent="0.25">
      <c r="A857" t="s">
        <v>885</v>
      </c>
      <c r="B857" t="s">
        <v>16</v>
      </c>
      <c r="C857">
        <v>40</v>
      </c>
      <c r="D857" t="s">
        <v>11</v>
      </c>
      <c r="E857">
        <v>31</v>
      </c>
      <c r="F857">
        <v>4</v>
      </c>
      <c r="G857" s="8">
        <v>45220</v>
      </c>
      <c r="H857">
        <v>2023</v>
      </c>
      <c r="I857">
        <v>4</v>
      </c>
      <c r="J857">
        <v>10</v>
      </c>
      <c r="K857" t="s">
        <v>1055</v>
      </c>
      <c r="L857" t="s">
        <v>1046</v>
      </c>
      <c r="M857">
        <v>2024</v>
      </c>
      <c r="N857" t="s">
        <v>1076</v>
      </c>
      <c r="O857">
        <v>4</v>
      </c>
    </row>
    <row r="858" spans="1:15" x14ac:dyDescent="0.25">
      <c r="A858" t="s">
        <v>886</v>
      </c>
      <c r="B858" t="s">
        <v>5</v>
      </c>
      <c r="C858">
        <v>54</v>
      </c>
      <c r="D858" t="s">
        <v>13</v>
      </c>
      <c r="E858">
        <v>120</v>
      </c>
      <c r="F858">
        <v>4.7</v>
      </c>
      <c r="G858" s="8">
        <v>45221</v>
      </c>
      <c r="H858">
        <v>2023</v>
      </c>
      <c r="I858">
        <v>4</v>
      </c>
      <c r="J858">
        <v>10</v>
      </c>
      <c r="K858" t="s">
        <v>1055</v>
      </c>
      <c r="L858" t="s">
        <v>1040</v>
      </c>
      <c r="M858">
        <v>2024</v>
      </c>
      <c r="N858" t="s">
        <v>1076</v>
      </c>
      <c r="O858">
        <v>5</v>
      </c>
    </row>
    <row r="859" spans="1:15" x14ac:dyDescent="0.25">
      <c r="A859" t="s">
        <v>887</v>
      </c>
      <c r="B859" t="s">
        <v>12</v>
      </c>
      <c r="C859">
        <v>81</v>
      </c>
      <c r="D859" t="s">
        <v>9</v>
      </c>
      <c r="E859">
        <v>117</v>
      </c>
      <c r="F859">
        <v>3.6</v>
      </c>
      <c r="G859" s="8">
        <v>45221</v>
      </c>
      <c r="H859">
        <v>2023</v>
      </c>
      <c r="I859">
        <v>4</v>
      </c>
      <c r="J859">
        <v>10</v>
      </c>
      <c r="K859" t="s">
        <v>1055</v>
      </c>
      <c r="L859" t="s">
        <v>1040</v>
      </c>
      <c r="M859">
        <v>2024</v>
      </c>
      <c r="N859" t="s">
        <v>1074</v>
      </c>
      <c r="O859">
        <v>4</v>
      </c>
    </row>
    <row r="860" spans="1:15" x14ac:dyDescent="0.25">
      <c r="A860" t="s">
        <v>888</v>
      </c>
      <c r="B860" t="s">
        <v>5</v>
      </c>
      <c r="C860">
        <v>76</v>
      </c>
      <c r="D860" t="s">
        <v>6</v>
      </c>
      <c r="E860">
        <v>80</v>
      </c>
      <c r="F860">
        <v>4.5</v>
      </c>
      <c r="G860" s="8">
        <v>45221</v>
      </c>
      <c r="H860">
        <v>2023</v>
      </c>
      <c r="I860">
        <v>4</v>
      </c>
      <c r="J860">
        <v>10</v>
      </c>
      <c r="K860" t="s">
        <v>1055</v>
      </c>
      <c r="L860" t="s">
        <v>1040</v>
      </c>
      <c r="M860">
        <v>2024</v>
      </c>
      <c r="N860" t="s">
        <v>1074</v>
      </c>
      <c r="O860">
        <v>4</v>
      </c>
    </row>
    <row r="861" spans="1:15" x14ac:dyDescent="0.25">
      <c r="A861" t="s">
        <v>889</v>
      </c>
      <c r="B861" t="s">
        <v>5</v>
      </c>
      <c r="C861">
        <v>37</v>
      </c>
      <c r="D861" t="s">
        <v>10</v>
      </c>
      <c r="E861">
        <v>117</v>
      </c>
      <c r="F861">
        <v>4</v>
      </c>
      <c r="G861" s="8">
        <v>45222</v>
      </c>
      <c r="H861">
        <v>2023</v>
      </c>
      <c r="I861">
        <v>4</v>
      </c>
      <c r="J861">
        <v>10</v>
      </c>
      <c r="K861" t="s">
        <v>1055</v>
      </c>
      <c r="L861" t="s">
        <v>1041</v>
      </c>
      <c r="M861">
        <v>2024</v>
      </c>
      <c r="N861" t="s">
        <v>1076</v>
      </c>
      <c r="O861">
        <v>4</v>
      </c>
    </row>
    <row r="862" spans="1:15" x14ac:dyDescent="0.25">
      <c r="A862" t="s">
        <v>890</v>
      </c>
      <c r="B862" t="s">
        <v>24</v>
      </c>
      <c r="C862">
        <v>96</v>
      </c>
      <c r="D862" t="s">
        <v>13</v>
      </c>
      <c r="E862">
        <v>60</v>
      </c>
      <c r="F862">
        <v>4.5</v>
      </c>
      <c r="G862" s="8">
        <v>45222</v>
      </c>
      <c r="H862">
        <v>2023</v>
      </c>
      <c r="I862">
        <v>4</v>
      </c>
      <c r="J862">
        <v>10</v>
      </c>
      <c r="K862" t="s">
        <v>1055</v>
      </c>
      <c r="L862" t="s">
        <v>1041</v>
      </c>
      <c r="M862">
        <v>2024</v>
      </c>
      <c r="N862" t="s">
        <v>1074</v>
      </c>
      <c r="O862">
        <v>4</v>
      </c>
    </row>
    <row r="863" spans="1:15" x14ac:dyDescent="0.25">
      <c r="A863" t="s">
        <v>891</v>
      </c>
      <c r="B863" t="s">
        <v>8</v>
      </c>
      <c r="C863">
        <v>19</v>
      </c>
      <c r="D863" t="s">
        <v>6</v>
      </c>
      <c r="E863">
        <v>58</v>
      </c>
      <c r="F863">
        <v>3.9</v>
      </c>
      <c r="G863" s="8">
        <v>45223</v>
      </c>
      <c r="H863">
        <v>2023</v>
      </c>
      <c r="I863">
        <v>4</v>
      </c>
      <c r="J863">
        <v>10</v>
      </c>
      <c r="K863" t="s">
        <v>1055</v>
      </c>
      <c r="L863" t="s">
        <v>1042</v>
      </c>
      <c r="M863">
        <v>2024</v>
      </c>
      <c r="N863" t="s">
        <v>1077</v>
      </c>
      <c r="O863">
        <v>4</v>
      </c>
    </row>
    <row r="864" spans="1:15" x14ac:dyDescent="0.25">
      <c r="A864" t="s">
        <v>892</v>
      </c>
      <c r="B864" t="s">
        <v>16</v>
      </c>
      <c r="C864">
        <v>72</v>
      </c>
      <c r="D864" t="s">
        <v>10</v>
      </c>
      <c r="E864">
        <v>41</v>
      </c>
      <c r="F864">
        <v>4.3</v>
      </c>
      <c r="G864" s="8">
        <v>45223</v>
      </c>
      <c r="H864">
        <v>2023</v>
      </c>
      <c r="I864">
        <v>4</v>
      </c>
      <c r="J864">
        <v>10</v>
      </c>
      <c r="K864" t="s">
        <v>1055</v>
      </c>
      <c r="L864" t="s">
        <v>1042</v>
      </c>
      <c r="M864">
        <v>2024</v>
      </c>
      <c r="N864" t="s">
        <v>1074</v>
      </c>
      <c r="O864">
        <v>4</v>
      </c>
    </row>
    <row r="865" spans="1:15" x14ac:dyDescent="0.25">
      <c r="A865" t="s">
        <v>893</v>
      </c>
      <c r="B865" t="s">
        <v>21</v>
      </c>
      <c r="C865">
        <v>73</v>
      </c>
      <c r="D865" t="s">
        <v>9</v>
      </c>
      <c r="E865">
        <v>180</v>
      </c>
      <c r="F865">
        <v>3.6</v>
      </c>
      <c r="G865" s="8">
        <v>45223</v>
      </c>
      <c r="H865">
        <v>2023</v>
      </c>
      <c r="I865">
        <v>4</v>
      </c>
      <c r="J865">
        <v>10</v>
      </c>
      <c r="K865" t="s">
        <v>1055</v>
      </c>
      <c r="L865" t="s">
        <v>1042</v>
      </c>
      <c r="M865">
        <v>2024</v>
      </c>
      <c r="N865" t="s">
        <v>1074</v>
      </c>
      <c r="O865">
        <v>4</v>
      </c>
    </row>
    <row r="866" spans="1:15" x14ac:dyDescent="0.25">
      <c r="A866" t="s">
        <v>894</v>
      </c>
      <c r="B866" t="s">
        <v>17</v>
      </c>
      <c r="C866">
        <v>87</v>
      </c>
      <c r="D866" t="s">
        <v>9</v>
      </c>
      <c r="E866">
        <v>42</v>
      </c>
      <c r="F866">
        <v>3.6</v>
      </c>
      <c r="G866" s="8">
        <v>45223</v>
      </c>
      <c r="H866">
        <v>2023</v>
      </c>
      <c r="I866">
        <v>4</v>
      </c>
      <c r="J866">
        <v>10</v>
      </c>
      <c r="K866" t="s">
        <v>1055</v>
      </c>
      <c r="L866" t="s">
        <v>1042</v>
      </c>
      <c r="M866">
        <v>2024</v>
      </c>
      <c r="N866" t="s">
        <v>1074</v>
      </c>
      <c r="O866">
        <v>4</v>
      </c>
    </row>
    <row r="867" spans="1:15" x14ac:dyDescent="0.25">
      <c r="A867" t="s">
        <v>895</v>
      </c>
      <c r="B867" t="s">
        <v>17</v>
      </c>
      <c r="C867">
        <v>68</v>
      </c>
      <c r="D867" t="s">
        <v>9</v>
      </c>
      <c r="E867">
        <v>24</v>
      </c>
      <c r="F867">
        <v>4</v>
      </c>
      <c r="G867" s="8">
        <v>45224</v>
      </c>
      <c r="H867">
        <v>2023</v>
      </c>
      <c r="I867">
        <v>4</v>
      </c>
      <c r="J867">
        <v>10</v>
      </c>
      <c r="K867" t="s">
        <v>1055</v>
      </c>
      <c r="L867" t="s">
        <v>1043</v>
      </c>
      <c r="M867">
        <v>2024</v>
      </c>
      <c r="N867" t="s">
        <v>1074</v>
      </c>
      <c r="O867">
        <v>4</v>
      </c>
    </row>
    <row r="868" spans="1:15" x14ac:dyDescent="0.25">
      <c r="A868" t="s">
        <v>896</v>
      </c>
      <c r="B868" t="s">
        <v>16</v>
      </c>
      <c r="C868">
        <v>101</v>
      </c>
      <c r="D868" t="s">
        <v>9</v>
      </c>
      <c r="E868">
        <v>125</v>
      </c>
      <c r="F868">
        <v>4.2</v>
      </c>
      <c r="G868" s="8">
        <v>45224</v>
      </c>
      <c r="H868">
        <v>2023</v>
      </c>
      <c r="I868">
        <v>4</v>
      </c>
      <c r="J868">
        <v>10</v>
      </c>
      <c r="K868" t="s">
        <v>1055</v>
      </c>
      <c r="L868" t="s">
        <v>1043</v>
      </c>
      <c r="M868">
        <v>2024</v>
      </c>
      <c r="N868" t="s">
        <v>1074</v>
      </c>
      <c r="O868">
        <v>4</v>
      </c>
    </row>
    <row r="869" spans="1:15" x14ac:dyDescent="0.25">
      <c r="A869" t="s">
        <v>897</v>
      </c>
      <c r="B869" t="s">
        <v>16</v>
      </c>
      <c r="C869">
        <v>107</v>
      </c>
      <c r="D869" t="s">
        <v>10</v>
      </c>
      <c r="E869">
        <v>78</v>
      </c>
      <c r="F869">
        <v>4.3</v>
      </c>
      <c r="G869" s="8">
        <v>45225</v>
      </c>
      <c r="H869">
        <v>2023</v>
      </c>
      <c r="I869">
        <v>4</v>
      </c>
      <c r="J869">
        <v>10</v>
      </c>
      <c r="K869" t="s">
        <v>1055</v>
      </c>
      <c r="L869" t="s">
        <v>1044</v>
      </c>
      <c r="M869">
        <v>2024</v>
      </c>
      <c r="N869" t="s">
        <v>1074</v>
      </c>
      <c r="O869">
        <v>4</v>
      </c>
    </row>
    <row r="870" spans="1:15" x14ac:dyDescent="0.25">
      <c r="A870" t="s">
        <v>898</v>
      </c>
      <c r="B870" t="s">
        <v>22</v>
      </c>
      <c r="C870">
        <v>109</v>
      </c>
      <c r="D870" t="s">
        <v>11</v>
      </c>
      <c r="E870">
        <v>180</v>
      </c>
      <c r="F870">
        <v>3.8</v>
      </c>
      <c r="G870" s="8">
        <v>45225</v>
      </c>
      <c r="H870">
        <v>2023</v>
      </c>
      <c r="I870">
        <v>4</v>
      </c>
      <c r="J870">
        <v>10</v>
      </c>
      <c r="K870" t="s">
        <v>1055</v>
      </c>
      <c r="L870" t="s">
        <v>1044</v>
      </c>
      <c r="M870">
        <v>2024</v>
      </c>
      <c r="N870" t="s">
        <v>1074</v>
      </c>
      <c r="O870">
        <v>4</v>
      </c>
    </row>
    <row r="871" spans="1:15" x14ac:dyDescent="0.25">
      <c r="A871" t="s">
        <v>899</v>
      </c>
      <c r="B871" t="s">
        <v>14</v>
      </c>
      <c r="C871">
        <v>171</v>
      </c>
      <c r="D871" t="s">
        <v>10</v>
      </c>
      <c r="E871">
        <v>84</v>
      </c>
      <c r="F871">
        <v>4.4000000000000004</v>
      </c>
      <c r="G871" s="8">
        <v>45225</v>
      </c>
      <c r="H871">
        <v>2023</v>
      </c>
      <c r="I871">
        <v>4</v>
      </c>
      <c r="J871">
        <v>10</v>
      </c>
      <c r="K871" t="s">
        <v>1055</v>
      </c>
      <c r="L871" t="s">
        <v>1044</v>
      </c>
      <c r="M871">
        <v>2024</v>
      </c>
      <c r="N871" t="s">
        <v>1075</v>
      </c>
      <c r="O871">
        <v>4</v>
      </c>
    </row>
    <row r="872" spans="1:15" x14ac:dyDescent="0.25">
      <c r="A872" t="s">
        <v>900</v>
      </c>
      <c r="B872" t="s">
        <v>8</v>
      </c>
      <c r="C872">
        <v>21</v>
      </c>
      <c r="D872" t="s">
        <v>10</v>
      </c>
      <c r="E872">
        <v>26</v>
      </c>
      <c r="F872">
        <v>4.7</v>
      </c>
      <c r="G872" s="8">
        <v>45225</v>
      </c>
      <c r="H872">
        <v>2023</v>
      </c>
      <c r="I872">
        <v>4</v>
      </c>
      <c r="J872">
        <v>10</v>
      </c>
      <c r="K872" t="s">
        <v>1055</v>
      </c>
      <c r="L872" t="s">
        <v>1044</v>
      </c>
      <c r="M872">
        <v>2024</v>
      </c>
      <c r="N872" t="s">
        <v>1077</v>
      </c>
      <c r="O872">
        <v>5</v>
      </c>
    </row>
    <row r="873" spans="1:15" x14ac:dyDescent="0.25">
      <c r="A873" t="s">
        <v>901</v>
      </c>
      <c r="B873" t="s">
        <v>12</v>
      </c>
      <c r="C873">
        <v>94</v>
      </c>
      <c r="D873" t="s">
        <v>10</v>
      </c>
      <c r="E873">
        <v>140</v>
      </c>
      <c r="F873">
        <v>3.6</v>
      </c>
      <c r="G873" s="8">
        <v>45226</v>
      </c>
      <c r="H873">
        <v>2023</v>
      </c>
      <c r="I873">
        <v>4</v>
      </c>
      <c r="J873">
        <v>10</v>
      </c>
      <c r="K873" t="s">
        <v>1055</v>
      </c>
      <c r="L873" t="s">
        <v>1045</v>
      </c>
      <c r="M873">
        <v>2024</v>
      </c>
      <c r="N873" t="s">
        <v>1074</v>
      </c>
      <c r="O873">
        <v>4</v>
      </c>
    </row>
    <row r="874" spans="1:15" x14ac:dyDescent="0.25">
      <c r="A874" t="s">
        <v>902</v>
      </c>
      <c r="B874" t="s">
        <v>21</v>
      </c>
      <c r="C874">
        <v>97</v>
      </c>
      <c r="D874" t="s">
        <v>11</v>
      </c>
      <c r="E874">
        <v>31</v>
      </c>
      <c r="F874">
        <v>2.2000000000000002</v>
      </c>
      <c r="G874" s="8">
        <v>45226</v>
      </c>
      <c r="H874">
        <v>2023</v>
      </c>
      <c r="I874">
        <v>4</v>
      </c>
      <c r="J874">
        <v>10</v>
      </c>
      <c r="K874" t="s">
        <v>1055</v>
      </c>
      <c r="L874" t="s">
        <v>1045</v>
      </c>
      <c r="M874">
        <v>2024</v>
      </c>
      <c r="N874" t="s">
        <v>1074</v>
      </c>
      <c r="O874">
        <v>2</v>
      </c>
    </row>
    <row r="875" spans="1:15" x14ac:dyDescent="0.25">
      <c r="A875" t="s">
        <v>903</v>
      </c>
      <c r="B875" t="s">
        <v>24</v>
      </c>
      <c r="C875">
        <v>72</v>
      </c>
      <c r="D875" t="s">
        <v>11</v>
      </c>
      <c r="E875">
        <v>108</v>
      </c>
      <c r="F875">
        <v>4.8</v>
      </c>
      <c r="G875" s="8">
        <v>45226</v>
      </c>
      <c r="H875">
        <v>2023</v>
      </c>
      <c r="I875">
        <v>4</v>
      </c>
      <c r="J875">
        <v>10</v>
      </c>
      <c r="K875" t="s">
        <v>1055</v>
      </c>
      <c r="L875" t="s">
        <v>1045</v>
      </c>
      <c r="M875">
        <v>2024</v>
      </c>
      <c r="N875" t="s">
        <v>1074</v>
      </c>
      <c r="O875">
        <v>5</v>
      </c>
    </row>
    <row r="876" spans="1:15" x14ac:dyDescent="0.25">
      <c r="A876" t="s">
        <v>904</v>
      </c>
      <c r="B876" t="s">
        <v>14</v>
      </c>
      <c r="C876">
        <v>143</v>
      </c>
      <c r="D876" t="s">
        <v>13</v>
      </c>
      <c r="E876">
        <v>58</v>
      </c>
      <c r="F876">
        <v>4.3</v>
      </c>
      <c r="G876" s="8">
        <v>45227</v>
      </c>
      <c r="H876">
        <v>2023</v>
      </c>
      <c r="I876">
        <v>4</v>
      </c>
      <c r="J876">
        <v>10</v>
      </c>
      <c r="K876" t="s">
        <v>1055</v>
      </c>
      <c r="L876" t="s">
        <v>1046</v>
      </c>
      <c r="M876">
        <v>2024</v>
      </c>
      <c r="N876" t="s">
        <v>1075</v>
      </c>
      <c r="O876">
        <v>4</v>
      </c>
    </row>
    <row r="877" spans="1:15" x14ac:dyDescent="0.25">
      <c r="A877" t="s">
        <v>905</v>
      </c>
      <c r="B877" t="s">
        <v>14</v>
      </c>
      <c r="C877">
        <v>64</v>
      </c>
      <c r="D877" t="s">
        <v>11</v>
      </c>
      <c r="E877">
        <v>185</v>
      </c>
      <c r="F877">
        <v>2.2000000000000002</v>
      </c>
      <c r="G877" s="8">
        <v>45227</v>
      </c>
      <c r="H877">
        <v>2023</v>
      </c>
      <c r="I877">
        <v>4</v>
      </c>
      <c r="J877">
        <v>10</v>
      </c>
      <c r="K877" t="s">
        <v>1055</v>
      </c>
      <c r="L877" t="s">
        <v>1046</v>
      </c>
      <c r="M877">
        <v>2024</v>
      </c>
      <c r="N877" t="s">
        <v>1074</v>
      </c>
      <c r="O877">
        <v>2</v>
      </c>
    </row>
    <row r="878" spans="1:15" x14ac:dyDescent="0.25">
      <c r="A878" t="s">
        <v>906</v>
      </c>
      <c r="B878" t="s">
        <v>14</v>
      </c>
      <c r="C878">
        <v>69</v>
      </c>
      <c r="D878" t="s">
        <v>11</v>
      </c>
      <c r="E878">
        <v>40</v>
      </c>
      <c r="F878">
        <v>4.8</v>
      </c>
      <c r="G878" s="8">
        <v>45227</v>
      </c>
      <c r="H878">
        <v>2023</v>
      </c>
      <c r="I878">
        <v>4</v>
      </c>
      <c r="J878">
        <v>10</v>
      </c>
      <c r="K878" t="s">
        <v>1055</v>
      </c>
      <c r="L878" t="s">
        <v>1046</v>
      </c>
      <c r="M878">
        <v>2024</v>
      </c>
      <c r="N878" t="s">
        <v>1074</v>
      </c>
      <c r="O878">
        <v>5</v>
      </c>
    </row>
    <row r="879" spans="1:15" x14ac:dyDescent="0.25">
      <c r="A879" t="s">
        <v>907</v>
      </c>
      <c r="B879" t="s">
        <v>14</v>
      </c>
      <c r="C879">
        <v>18</v>
      </c>
      <c r="D879" t="s">
        <v>6</v>
      </c>
      <c r="E879">
        <v>225</v>
      </c>
      <c r="F879">
        <v>2.6</v>
      </c>
      <c r="G879" s="8">
        <v>45227</v>
      </c>
      <c r="H879">
        <v>2023</v>
      </c>
      <c r="I879">
        <v>4</v>
      </c>
      <c r="J879">
        <v>10</v>
      </c>
      <c r="K879" t="s">
        <v>1055</v>
      </c>
      <c r="L879" t="s">
        <v>1046</v>
      </c>
      <c r="M879">
        <v>2024</v>
      </c>
      <c r="N879" t="s">
        <v>1077</v>
      </c>
      <c r="O879">
        <v>3</v>
      </c>
    </row>
    <row r="880" spans="1:15" x14ac:dyDescent="0.25">
      <c r="A880" t="s">
        <v>908</v>
      </c>
      <c r="B880" t="s">
        <v>21</v>
      </c>
      <c r="C880">
        <v>100</v>
      </c>
      <c r="D880" t="s">
        <v>13</v>
      </c>
      <c r="E880">
        <v>150</v>
      </c>
      <c r="F880">
        <v>2.6</v>
      </c>
      <c r="G880" s="8">
        <v>45227</v>
      </c>
      <c r="H880">
        <v>2023</v>
      </c>
      <c r="I880">
        <v>4</v>
      </c>
      <c r="J880">
        <v>10</v>
      </c>
      <c r="K880" t="s">
        <v>1055</v>
      </c>
      <c r="L880" t="s">
        <v>1046</v>
      </c>
      <c r="M880">
        <v>2024</v>
      </c>
      <c r="N880" t="s">
        <v>1074</v>
      </c>
      <c r="O880">
        <v>3</v>
      </c>
    </row>
    <row r="881" spans="1:15" x14ac:dyDescent="0.25">
      <c r="A881" t="s">
        <v>909</v>
      </c>
      <c r="B881" t="s">
        <v>18</v>
      </c>
      <c r="C881">
        <v>110</v>
      </c>
      <c r="D881" t="s">
        <v>9</v>
      </c>
      <c r="E881">
        <v>88</v>
      </c>
      <c r="F881">
        <v>3.4</v>
      </c>
      <c r="G881" s="8">
        <v>45228</v>
      </c>
      <c r="H881">
        <v>2023</v>
      </c>
      <c r="I881">
        <v>4</v>
      </c>
      <c r="J881">
        <v>10</v>
      </c>
      <c r="K881" t="s">
        <v>1055</v>
      </c>
      <c r="L881" t="s">
        <v>1040</v>
      </c>
      <c r="M881">
        <v>2024</v>
      </c>
      <c r="N881" t="s">
        <v>1074</v>
      </c>
      <c r="O881">
        <v>3</v>
      </c>
    </row>
    <row r="882" spans="1:15" x14ac:dyDescent="0.25">
      <c r="A882" t="s">
        <v>910</v>
      </c>
      <c r="B882" t="s">
        <v>7</v>
      </c>
      <c r="C882">
        <v>41</v>
      </c>
      <c r="D882" t="s">
        <v>10</v>
      </c>
      <c r="E882">
        <v>140</v>
      </c>
      <c r="F882">
        <v>3.7</v>
      </c>
      <c r="G882" s="8">
        <v>45228</v>
      </c>
      <c r="H882">
        <v>2023</v>
      </c>
      <c r="I882">
        <v>4</v>
      </c>
      <c r="J882">
        <v>10</v>
      </c>
      <c r="K882" t="s">
        <v>1055</v>
      </c>
      <c r="L882" t="s">
        <v>1040</v>
      </c>
      <c r="M882">
        <v>2024</v>
      </c>
      <c r="N882" t="s">
        <v>1076</v>
      </c>
      <c r="O882">
        <v>4</v>
      </c>
    </row>
    <row r="883" spans="1:15" x14ac:dyDescent="0.25">
      <c r="A883" t="s">
        <v>911</v>
      </c>
      <c r="B883" t="s">
        <v>18</v>
      </c>
      <c r="C883">
        <v>147</v>
      </c>
      <c r="D883" t="s">
        <v>9</v>
      </c>
      <c r="E883">
        <v>68</v>
      </c>
      <c r="F883">
        <v>2.1</v>
      </c>
      <c r="G883" s="8">
        <v>45228</v>
      </c>
      <c r="H883">
        <v>2023</v>
      </c>
      <c r="I883">
        <v>4</v>
      </c>
      <c r="J883">
        <v>10</v>
      </c>
      <c r="K883" t="s">
        <v>1055</v>
      </c>
      <c r="L883" t="s">
        <v>1040</v>
      </c>
      <c r="M883">
        <v>2024</v>
      </c>
      <c r="N883" t="s">
        <v>1075</v>
      </c>
      <c r="O883">
        <v>2</v>
      </c>
    </row>
    <row r="884" spans="1:15" x14ac:dyDescent="0.25">
      <c r="A884" t="s">
        <v>912</v>
      </c>
      <c r="B884" t="s">
        <v>12</v>
      </c>
      <c r="C884">
        <v>31</v>
      </c>
      <c r="D884" t="s">
        <v>6</v>
      </c>
      <c r="E884">
        <v>105</v>
      </c>
      <c r="F884">
        <v>3.6</v>
      </c>
      <c r="G884" s="8">
        <v>45229</v>
      </c>
      <c r="H884">
        <v>2023</v>
      </c>
      <c r="I884">
        <v>4</v>
      </c>
      <c r="J884">
        <v>10</v>
      </c>
      <c r="K884" t="s">
        <v>1055</v>
      </c>
      <c r="L884" t="s">
        <v>1041</v>
      </c>
      <c r="M884">
        <v>2024</v>
      </c>
      <c r="N884" t="s">
        <v>1076</v>
      </c>
      <c r="O884">
        <v>4</v>
      </c>
    </row>
    <row r="885" spans="1:15" x14ac:dyDescent="0.25">
      <c r="A885" t="s">
        <v>913</v>
      </c>
      <c r="B885" t="s">
        <v>17</v>
      </c>
      <c r="C885">
        <v>142</v>
      </c>
      <c r="D885" t="s">
        <v>10</v>
      </c>
      <c r="E885">
        <v>40</v>
      </c>
      <c r="F885">
        <v>3.8</v>
      </c>
      <c r="G885" s="8">
        <v>45229</v>
      </c>
      <c r="H885">
        <v>2023</v>
      </c>
      <c r="I885">
        <v>4</v>
      </c>
      <c r="J885">
        <v>10</v>
      </c>
      <c r="K885" t="s">
        <v>1055</v>
      </c>
      <c r="L885" t="s">
        <v>1041</v>
      </c>
      <c r="M885">
        <v>2024</v>
      </c>
      <c r="N885" t="s">
        <v>1075</v>
      </c>
      <c r="O885">
        <v>4</v>
      </c>
    </row>
    <row r="886" spans="1:15" x14ac:dyDescent="0.25">
      <c r="A886" t="s">
        <v>914</v>
      </c>
      <c r="B886" t="s">
        <v>22</v>
      </c>
      <c r="C886">
        <v>61</v>
      </c>
      <c r="D886" t="s">
        <v>10</v>
      </c>
      <c r="E886">
        <v>82</v>
      </c>
      <c r="F886">
        <v>3.1</v>
      </c>
      <c r="G886" s="8">
        <v>45229</v>
      </c>
      <c r="H886">
        <v>2023</v>
      </c>
      <c r="I886">
        <v>4</v>
      </c>
      <c r="J886">
        <v>10</v>
      </c>
      <c r="K886" t="s">
        <v>1055</v>
      </c>
      <c r="L886" t="s">
        <v>1041</v>
      </c>
      <c r="M886">
        <v>2024</v>
      </c>
      <c r="N886" t="s">
        <v>1074</v>
      </c>
      <c r="O886">
        <v>3</v>
      </c>
    </row>
    <row r="887" spans="1:15" x14ac:dyDescent="0.25">
      <c r="A887" t="s">
        <v>915</v>
      </c>
      <c r="B887" t="s">
        <v>20</v>
      </c>
      <c r="C887">
        <v>86</v>
      </c>
      <c r="D887" t="s">
        <v>6</v>
      </c>
      <c r="E887">
        <v>90</v>
      </c>
      <c r="F887">
        <v>4.4000000000000004</v>
      </c>
      <c r="G887" s="8">
        <v>45230</v>
      </c>
      <c r="H887">
        <v>2023</v>
      </c>
      <c r="I887">
        <v>4</v>
      </c>
      <c r="J887">
        <v>10</v>
      </c>
      <c r="K887" t="s">
        <v>1055</v>
      </c>
      <c r="L887" t="s">
        <v>1042</v>
      </c>
      <c r="M887">
        <v>2024</v>
      </c>
      <c r="N887" t="s">
        <v>1074</v>
      </c>
      <c r="O887">
        <v>4</v>
      </c>
    </row>
    <row r="888" spans="1:15" x14ac:dyDescent="0.25">
      <c r="A888" t="s">
        <v>916</v>
      </c>
      <c r="B888" t="s">
        <v>23</v>
      </c>
      <c r="C888">
        <v>165</v>
      </c>
      <c r="D888" t="s">
        <v>13</v>
      </c>
      <c r="E888">
        <v>66</v>
      </c>
      <c r="F888">
        <v>4.8</v>
      </c>
      <c r="G888" s="8">
        <v>45231</v>
      </c>
      <c r="H888">
        <v>2023</v>
      </c>
      <c r="I888">
        <v>4</v>
      </c>
      <c r="J888">
        <v>11</v>
      </c>
      <c r="K888" t="s">
        <v>1056</v>
      </c>
      <c r="L888" t="s">
        <v>1043</v>
      </c>
      <c r="M888">
        <v>2024</v>
      </c>
      <c r="N888" t="s">
        <v>1075</v>
      </c>
      <c r="O888">
        <v>5</v>
      </c>
    </row>
    <row r="889" spans="1:15" x14ac:dyDescent="0.25">
      <c r="A889" t="s">
        <v>917</v>
      </c>
      <c r="B889" t="s">
        <v>5</v>
      </c>
      <c r="C889">
        <v>62</v>
      </c>
      <c r="D889" t="s">
        <v>9</v>
      </c>
      <c r="E889">
        <v>78</v>
      </c>
      <c r="F889">
        <v>3.5</v>
      </c>
      <c r="G889" s="8">
        <v>45231</v>
      </c>
      <c r="H889">
        <v>2023</v>
      </c>
      <c r="I889">
        <v>4</v>
      </c>
      <c r="J889">
        <v>11</v>
      </c>
      <c r="K889" t="s">
        <v>1056</v>
      </c>
      <c r="L889" t="s">
        <v>1043</v>
      </c>
      <c r="M889">
        <v>2024</v>
      </c>
      <c r="N889" t="s">
        <v>1074</v>
      </c>
      <c r="O889">
        <v>4</v>
      </c>
    </row>
    <row r="890" spans="1:15" x14ac:dyDescent="0.25">
      <c r="A890" t="s">
        <v>918</v>
      </c>
      <c r="B890" t="s">
        <v>21</v>
      </c>
      <c r="C890">
        <v>103</v>
      </c>
      <c r="D890" t="s">
        <v>13</v>
      </c>
      <c r="E890">
        <v>66</v>
      </c>
      <c r="F890">
        <v>4.4000000000000004</v>
      </c>
      <c r="G890" s="8">
        <v>45232</v>
      </c>
      <c r="H890">
        <v>2023</v>
      </c>
      <c r="I890">
        <v>4</v>
      </c>
      <c r="J890">
        <v>11</v>
      </c>
      <c r="K890" t="s">
        <v>1056</v>
      </c>
      <c r="L890" t="s">
        <v>1044</v>
      </c>
      <c r="M890">
        <v>2024</v>
      </c>
      <c r="N890" t="s">
        <v>1074</v>
      </c>
      <c r="O890">
        <v>4</v>
      </c>
    </row>
    <row r="891" spans="1:15" x14ac:dyDescent="0.25">
      <c r="A891" t="s">
        <v>919</v>
      </c>
      <c r="B891" t="s">
        <v>17</v>
      </c>
      <c r="C891">
        <v>56</v>
      </c>
      <c r="D891" t="s">
        <v>6</v>
      </c>
      <c r="E891">
        <v>160</v>
      </c>
      <c r="F891">
        <v>3.8</v>
      </c>
      <c r="G891" s="8">
        <v>45233</v>
      </c>
      <c r="H891">
        <v>2023</v>
      </c>
      <c r="I891">
        <v>4</v>
      </c>
      <c r="J891">
        <v>11</v>
      </c>
      <c r="K891" t="s">
        <v>1056</v>
      </c>
      <c r="L891" t="s">
        <v>1045</v>
      </c>
      <c r="M891">
        <v>2024</v>
      </c>
      <c r="N891" t="s">
        <v>1076</v>
      </c>
      <c r="O891">
        <v>4</v>
      </c>
    </row>
    <row r="892" spans="1:15" x14ac:dyDescent="0.25">
      <c r="A892" t="s">
        <v>920</v>
      </c>
      <c r="B892" t="s">
        <v>16</v>
      </c>
      <c r="C892">
        <v>114</v>
      </c>
      <c r="D892" t="s">
        <v>10</v>
      </c>
      <c r="E892">
        <v>144</v>
      </c>
      <c r="F892">
        <v>3.8</v>
      </c>
      <c r="G892" s="8">
        <v>45234</v>
      </c>
      <c r="H892">
        <v>2023</v>
      </c>
      <c r="I892">
        <v>4</v>
      </c>
      <c r="J892">
        <v>11</v>
      </c>
      <c r="K892" t="s">
        <v>1056</v>
      </c>
      <c r="L892" t="s">
        <v>1046</v>
      </c>
      <c r="M892">
        <v>2024</v>
      </c>
      <c r="N892" t="s">
        <v>1074</v>
      </c>
      <c r="O892">
        <v>4</v>
      </c>
    </row>
    <row r="893" spans="1:15" x14ac:dyDescent="0.25">
      <c r="A893" t="s">
        <v>921</v>
      </c>
      <c r="B893" t="s">
        <v>17</v>
      </c>
      <c r="C893">
        <v>112</v>
      </c>
      <c r="D893" t="s">
        <v>11</v>
      </c>
      <c r="E893">
        <v>200</v>
      </c>
      <c r="F893">
        <v>4.5999999999999996</v>
      </c>
      <c r="G893" s="8">
        <v>45234</v>
      </c>
      <c r="H893">
        <v>2023</v>
      </c>
      <c r="I893">
        <v>4</v>
      </c>
      <c r="J893">
        <v>11</v>
      </c>
      <c r="K893" t="s">
        <v>1056</v>
      </c>
      <c r="L893" t="s">
        <v>1046</v>
      </c>
      <c r="M893">
        <v>2024</v>
      </c>
      <c r="N893" t="s">
        <v>1074</v>
      </c>
      <c r="O893">
        <v>5</v>
      </c>
    </row>
    <row r="894" spans="1:15" x14ac:dyDescent="0.25">
      <c r="A894" t="s">
        <v>922</v>
      </c>
      <c r="B894" t="s">
        <v>15</v>
      </c>
      <c r="C894">
        <v>52</v>
      </c>
      <c r="D894" t="s">
        <v>9</v>
      </c>
      <c r="E894">
        <v>220</v>
      </c>
      <c r="F894">
        <v>5</v>
      </c>
      <c r="G894" s="8">
        <v>45236</v>
      </c>
      <c r="H894">
        <v>2023</v>
      </c>
      <c r="I894">
        <v>4</v>
      </c>
      <c r="J894">
        <v>11</v>
      </c>
      <c r="K894" t="s">
        <v>1056</v>
      </c>
      <c r="L894" t="s">
        <v>1041</v>
      </c>
      <c r="M894">
        <v>2024</v>
      </c>
      <c r="N894" t="s">
        <v>1076</v>
      </c>
      <c r="O894">
        <v>5</v>
      </c>
    </row>
    <row r="895" spans="1:15" x14ac:dyDescent="0.25">
      <c r="A895" t="s">
        <v>923</v>
      </c>
      <c r="B895" t="s">
        <v>21</v>
      </c>
      <c r="C895">
        <v>105</v>
      </c>
      <c r="D895" t="s">
        <v>13</v>
      </c>
      <c r="E895">
        <v>112</v>
      </c>
      <c r="F895">
        <v>3.2</v>
      </c>
      <c r="G895" s="8">
        <v>45237</v>
      </c>
      <c r="H895">
        <v>2023</v>
      </c>
      <c r="I895">
        <v>4</v>
      </c>
      <c r="J895">
        <v>11</v>
      </c>
      <c r="K895" t="s">
        <v>1056</v>
      </c>
      <c r="L895" t="s">
        <v>1042</v>
      </c>
      <c r="M895">
        <v>2024</v>
      </c>
      <c r="N895" t="s">
        <v>1074</v>
      </c>
      <c r="O895">
        <v>3</v>
      </c>
    </row>
    <row r="896" spans="1:15" x14ac:dyDescent="0.25">
      <c r="A896" t="s">
        <v>924</v>
      </c>
      <c r="B896" t="s">
        <v>23</v>
      </c>
      <c r="C896">
        <v>91</v>
      </c>
      <c r="D896" t="s">
        <v>6</v>
      </c>
      <c r="E896">
        <v>110</v>
      </c>
      <c r="F896">
        <v>3.7</v>
      </c>
      <c r="G896" s="8">
        <v>45237</v>
      </c>
      <c r="H896">
        <v>2023</v>
      </c>
      <c r="I896">
        <v>4</v>
      </c>
      <c r="J896">
        <v>11</v>
      </c>
      <c r="K896" t="s">
        <v>1056</v>
      </c>
      <c r="L896" t="s">
        <v>1042</v>
      </c>
      <c r="M896">
        <v>2024</v>
      </c>
      <c r="N896" t="s">
        <v>1074</v>
      </c>
      <c r="O896">
        <v>4</v>
      </c>
    </row>
    <row r="897" spans="1:15" x14ac:dyDescent="0.25">
      <c r="A897" t="s">
        <v>925</v>
      </c>
      <c r="B897" t="s">
        <v>19</v>
      </c>
      <c r="C897">
        <v>74</v>
      </c>
      <c r="D897" t="s">
        <v>10</v>
      </c>
      <c r="E897">
        <v>160</v>
      </c>
      <c r="F897">
        <v>2.7</v>
      </c>
      <c r="G897" s="8">
        <v>45238</v>
      </c>
      <c r="H897">
        <v>2023</v>
      </c>
      <c r="I897">
        <v>4</v>
      </c>
      <c r="J897">
        <v>11</v>
      </c>
      <c r="K897" t="s">
        <v>1056</v>
      </c>
      <c r="L897" t="s">
        <v>1043</v>
      </c>
      <c r="M897">
        <v>2024</v>
      </c>
      <c r="N897" t="s">
        <v>1074</v>
      </c>
      <c r="O897">
        <v>3</v>
      </c>
    </row>
    <row r="898" spans="1:15" x14ac:dyDescent="0.25">
      <c r="A898" t="s">
        <v>926</v>
      </c>
      <c r="B898" t="s">
        <v>19</v>
      </c>
      <c r="C898">
        <v>30</v>
      </c>
      <c r="D898" t="s">
        <v>6</v>
      </c>
      <c r="E898">
        <v>84</v>
      </c>
      <c r="F898">
        <v>4</v>
      </c>
      <c r="G898" s="8">
        <v>45238</v>
      </c>
      <c r="H898">
        <v>2023</v>
      </c>
      <c r="I898">
        <v>4</v>
      </c>
      <c r="J898">
        <v>11</v>
      </c>
      <c r="K898" t="s">
        <v>1056</v>
      </c>
      <c r="L898" t="s">
        <v>1043</v>
      </c>
      <c r="M898">
        <v>2024</v>
      </c>
      <c r="N898" t="s">
        <v>1077</v>
      </c>
      <c r="O898">
        <v>4</v>
      </c>
    </row>
    <row r="899" spans="1:15" x14ac:dyDescent="0.25">
      <c r="A899" t="s">
        <v>927</v>
      </c>
      <c r="B899" t="s">
        <v>23</v>
      </c>
      <c r="C899">
        <v>56</v>
      </c>
      <c r="D899" t="s">
        <v>9</v>
      </c>
      <c r="E899">
        <v>124</v>
      </c>
      <c r="F899">
        <v>2.6</v>
      </c>
      <c r="G899" s="8">
        <v>45238</v>
      </c>
      <c r="H899">
        <v>2023</v>
      </c>
      <c r="I899">
        <v>4</v>
      </c>
      <c r="J899">
        <v>11</v>
      </c>
      <c r="K899" t="s">
        <v>1056</v>
      </c>
      <c r="L899" t="s">
        <v>1043</v>
      </c>
      <c r="M899">
        <v>2024</v>
      </c>
      <c r="N899" t="s">
        <v>1076</v>
      </c>
      <c r="O899">
        <v>3</v>
      </c>
    </row>
    <row r="900" spans="1:15" x14ac:dyDescent="0.25">
      <c r="A900" t="s">
        <v>928</v>
      </c>
      <c r="B900" t="s">
        <v>19</v>
      </c>
      <c r="C900">
        <v>151</v>
      </c>
      <c r="D900" t="s">
        <v>11</v>
      </c>
      <c r="E900">
        <v>84</v>
      </c>
      <c r="F900">
        <v>4.5999999999999996</v>
      </c>
      <c r="G900" s="8">
        <v>45238</v>
      </c>
      <c r="H900">
        <v>2023</v>
      </c>
      <c r="I900">
        <v>4</v>
      </c>
      <c r="J900">
        <v>11</v>
      </c>
      <c r="K900" t="s">
        <v>1056</v>
      </c>
      <c r="L900" t="s">
        <v>1043</v>
      </c>
      <c r="M900">
        <v>2024</v>
      </c>
      <c r="N900" t="s">
        <v>1075</v>
      </c>
      <c r="O900">
        <v>5</v>
      </c>
    </row>
    <row r="901" spans="1:15" x14ac:dyDescent="0.25">
      <c r="A901" t="s">
        <v>929</v>
      </c>
      <c r="B901" t="s">
        <v>12</v>
      </c>
      <c r="C901">
        <v>108</v>
      </c>
      <c r="D901" t="s">
        <v>13</v>
      </c>
      <c r="E901">
        <v>130</v>
      </c>
      <c r="F901">
        <v>2.7</v>
      </c>
      <c r="G901" s="8">
        <v>45239</v>
      </c>
      <c r="H901">
        <v>2023</v>
      </c>
      <c r="I901">
        <v>4</v>
      </c>
      <c r="J901">
        <v>11</v>
      </c>
      <c r="K901" t="s">
        <v>1056</v>
      </c>
      <c r="L901" t="s">
        <v>1044</v>
      </c>
      <c r="M901">
        <v>2024</v>
      </c>
      <c r="N901" t="s">
        <v>1074</v>
      </c>
      <c r="O901">
        <v>3</v>
      </c>
    </row>
    <row r="902" spans="1:15" x14ac:dyDescent="0.25">
      <c r="A902" t="s">
        <v>930</v>
      </c>
      <c r="B902" t="s">
        <v>16</v>
      </c>
      <c r="C902">
        <v>124</v>
      </c>
      <c r="D902" t="s">
        <v>10</v>
      </c>
      <c r="E902">
        <v>215</v>
      </c>
      <c r="F902">
        <v>3.5</v>
      </c>
      <c r="G902" s="8">
        <v>45239</v>
      </c>
      <c r="H902">
        <v>2023</v>
      </c>
      <c r="I902">
        <v>4</v>
      </c>
      <c r="J902">
        <v>11</v>
      </c>
      <c r="K902" t="s">
        <v>1056</v>
      </c>
      <c r="L902" t="s">
        <v>1044</v>
      </c>
      <c r="M902">
        <v>2024</v>
      </c>
      <c r="N902" t="s">
        <v>1075</v>
      </c>
      <c r="O902">
        <v>4</v>
      </c>
    </row>
    <row r="903" spans="1:15" x14ac:dyDescent="0.25">
      <c r="A903" t="s">
        <v>931</v>
      </c>
      <c r="B903" t="s">
        <v>21</v>
      </c>
      <c r="C903">
        <v>110</v>
      </c>
      <c r="D903" t="s">
        <v>9</v>
      </c>
      <c r="E903">
        <v>132</v>
      </c>
      <c r="F903">
        <v>3.6</v>
      </c>
      <c r="G903" s="8">
        <v>45240</v>
      </c>
      <c r="H903">
        <v>2023</v>
      </c>
      <c r="I903">
        <v>4</v>
      </c>
      <c r="J903">
        <v>11</v>
      </c>
      <c r="K903" t="s">
        <v>1056</v>
      </c>
      <c r="L903" t="s">
        <v>1045</v>
      </c>
      <c r="M903">
        <v>2024</v>
      </c>
      <c r="N903" t="s">
        <v>1074</v>
      </c>
      <c r="O903">
        <v>4</v>
      </c>
    </row>
    <row r="904" spans="1:15" x14ac:dyDescent="0.25">
      <c r="A904" t="s">
        <v>932</v>
      </c>
      <c r="B904" t="s">
        <v>18</v>
      </c>
      <c r="C904">
        <v>89</v>
      </c>
      <c r="D904" t="s">
        <v>13</v>
      </c>
      <c r="E904">
        <v>88</v>
      </c>
      <c r="F904">
        <v>4.9000000000000004</v>
      </c>
      <c r="G904" s="8">
        <v>45240</v>
      </c>
      <c r="H904">
        <v>2023</v>
      </c>
      <c r="I904">
        <v>4</v>
      </c>
      <c r="J904">
        <v>11</v>
      </c>
      <c r="K904" t="s">
        <v>1056</v>
      </c>
      <c r="L904" t="s">
        <v>1045</v>
      </c>
      <c r="M904">
        <v>2024</v>
      </c>
      <c r="N904" t="s">
        <v>1074</v>
      </c>
      <c r="O904">
        <v>5</v>
      </c>
    </row>
    <row r="905" spans="1:15" x14ac:dyDescent="0.25">
      <c r="A905" t="s">
        <v>933</v>
      </c>
      <c r="B905" t="s">
        <v>20</v>
      </c>
      <c r="C905">
        <v>95</v>
      </c>
      <c r="D905" t="s">
        <v>9</v>
      </c>
      <c r="E905">
        <v>140</v>
      </c>
      <c r="F905">
        <v>3.9</v>
      </c>
      <c r="G905" s="8">
        <v>45240</v>
      </c>
      <c r="H905">
        <v>2023</v>
      </c>
      <c r="I905">
        <v>4</v>
      </c>
      <c r="J905">
        <v>11</v>
      </c>
      <c r="K905" t="s">
        <v>1056</v>
      </c>
      <c r="L905" t="s">
        <v>1045</v>
      </c>
      <c r="M905">
        <v>2024</v>
      </c>
      <c r="N905" t="s">
        <v>1074</v>
      </c>
      <c r="O905">
        <v>4</v>
      </c>
    </row>
    <row r="906" spans="1:15" x14ac:dyDescent="0.25">
      <c r="A906" t="s">
        <v>934</v>
      </c>
      <c r="B906" t="s">
        <v>19</v>
      </c>
      <c r="C906">
        <v>84</v>
      </c>
      <c r="D906" t="s">
        <v>13</v>
      </c>
      <c r="E906">
        <v>66</v>
      </c>
      <c r="F906">
        <v>4.7</v>
      </c>
      <c r="G906" s="8">
        <v>45241</v>
      </c>
      <c r="H906">
        <v>2023</v>
      </c>
      <c r="I906">
        <v>4</v>
      </c>
      <c r="J906">
        <v>11</v>
      </c>
      <c r="K906" t="s">
        <v>1056</v>
      </c>
      <c r="L906" t="s">
        <v>1046</v>
      </c>
      <c r="M906">
        <v>2024</v>
      </c>
      <c r="N906" t="s">
        <v>1074</v>
      </c>
      <c r="O906">
        <v>5</v>
      </c>
    </row>
    <row r="907" spans="1:15" x14ac:dyDescent="0.25">
      <c r="A907" t="s">
        <v>935</v>
      </c>
      <c r="B907" t="s">
        <v>24</v>
      </c>
      <c r="C907">
        <v>89</v>
      </c>
      <c r="D907" t="s">
        <v>10</v>
      </c>
      <c r="E907">
        <v>23</v>
      </c>
      <c r="F907">
        <v>4.5</v>
      </c>
      <c r="G907" s="8">
        <v>45241</v>
      </c>
      <c r="H907">
        <v>2023</v>
      </c>
      <c r="I907">
        <v>4</v>
      </c>
      <c r="J907">
        <v>11</v>
      </c>
      <c r="K907" t="s">
        <v>1056</v>
      </c>
      <c r="L907" t="s">
        <v>1046</v>
      </c>
      <c r="M907">
        <v>2024</v>
      </c>
      <c r="N907" t="s">
        <v>1074</v>
      </c>
      <c r="O907">
        <v>4</v>
      </c>
    </row>
    <row r="908" spans="1:15" x14ac:dyDescent="0.25">
      <c r="A908" t="s">
        <v>936</v>
      </c>
      <c r="B908" t="s">
        <v>18</v>
      </c>
      <c r="C908">
        <v>146</v>
      </c>
      <c r="D908" t="s">
        <v>10</v>
      </c>
      <c r="E908">
        <v>220</v>
      </c>
      <c r="F908">
        <v>4.5</v>
      </c>
      <c r="G908" s="8">
        <v>45242</v>
      </c>
      <c r="H908">
        <v>2023</v>
      </c>
      <c r="I908">
        <v>4</v>
      </c>
      <c r="J908">
        <v>11</v>
      </c>
      <c r="K908" t="s">
        <v>1056</v>
      </c>
      <c r="L908" t="s">
        <v>1040</v>
      </c>
      <c r="M908">
        <v>2024</v>
      </c>
      <c r="N908" t="s">
        <v>1075</v>
      </c>
      <c r="O908">
        <v>4</v>
      </c>
    </row>
    <row r="909" spans="1:15" x14ac:dyDescent="0.25">
      <c r="A909" t="s">
        <v>937</v>
      </c>
      <c r="B909" t="s">
        <v>14</v>
      </c>
      <c r="C909">
        <v>62</v>
      </c>
      <c r="D909" t="s">
        <v>6</v>
      </c>
      <c r="E909">
        <v>175</v>
      </c>
      <c r="F909">
        <v>4.4000000000000004</v>
      </c>
      <c r="G909" s="8">
        <v>45243</v>
      </c>
      <c r="H909">
        <v>2023</v>
      </c>
      <c r="I909">
        <v>4</v>
      </c>
      <c r="J909">
        <v>11</v>
      </c>
      <c r="K909" t="s">
        <v>1056</v>
      </c>
      <c r="L909" t="s">
        <v>1041</v>
      </c>
      <c r="M909">
        <v>2024</v>
      </c>
      <c r="N909" t="s">
        <v>1074</v>
      </c>
      <c r="O909">
        <v>4</v>
      </c>
    </row>
    <row r="910" spans="1:15" x14ac:dyDescent="0.25">
      <c r="A910" t="s">
        <v>938</v>
      </c>
      <c r="B910" t="s">
        <v>17</v>
      </c>
      <c r="C910">
        <v>82</v>
      </c>
      <c r="D910" t="s">
        <v>10</v>
      </c>
      <c r="E910">
        <v>172</v>
      </c>
      <c r="F910">
        <v>4.0999999999999996</v>
      </c>
      <c r="G910" s="8">
        <v>45243</v>
      </c>
      <c r="H910">
        <v>2023</v>
      </c>
      <c r="I910">
        <v>4</v>
      </c>
      <c r="J910">
        <v>11</v>
      </c>
      <c r="K910" t="s">
        <v>1056</v>
      </c>
      <c r="L910" t="s">
        <v>1041</v>
      </c>
      <c r="M910">
        <v>2024</v>
      </c>
      <c r="N910" t="s">
        <v>1074</v>
      </c>
      <c r="O910">
        <v>4</v>
      </c>
    </row>
    <row r="911" spans="1:15" x14ac:dyDescent="0.25">
      <c r="A911" t="s">
        <v>939</v>
      </c>
      <c r="B911" t="s">
        <v>22</v>
      </c>
      <c r="C911">
        <v>91</v>
      </c>
      <c r="D911" t="s">
        <v>11</v>
      </c>
      <c r="E911">
        <v>108</v>
      </c>
      <c r="F911">
        <v>3.8</v>
      </c>
      <c r="G911" s="8">
        <v>45243</v>
      </c>
      <c r="H911">
        <v>2023</v>
      </c>
      <c r="I911">
        <v>4</v>
      </c>
      <c r="J911">
        <v>11</v>
      </c>
      <c r="K911" t="s">
        <v>1056</v>
      </c>
      <c r="L911" t="s">
        <v>1041</v>
      </c>
      <c r="M911">
        <v>2024</v>
      </c>
      <c r="N911" t="s">
        <v>1074</v>
      </c>
      <c r="O911">
        <v>4</v>
      </c>
    </row>
    <row r="912" spans="1:15" x14ac:dyDescent="0.25">
      <c r="A912" t="s">
        <v>940</v>
      </c>
      <c r="B912" t="s">
        <v>24</v>
      </c>
      <c r="C912">
        <v>39</v>
      </c>
      <c r="D912" t="s">
        <v>10</v>
      </c>
      <c r="E912">
        <v>43</v>
      </c>
      <c r="F912">
        <v>4.2</v>
      </c>
      <c r="G912" s="8">
        <v>45244</v>
      </c>
      <c r="H912">
        <v>2023</v>
      </c>
      <c r="I912">
        <v>4</v>
      </c>
      <c r="J912">
        <v>11</v>
      </c>
      <c r="K912" t="s">
        <v>1056</v>
      </c>
      <c r="L912" t="s">
        <v>1042</v>
      </c>
      <c r="M912">
        <v>2024</v>
      </c>
      <c r="N912" t="s">
        <v>1076</v>
      </c>
      <c r="O912">
        <v>4</v>
      </c>
    </row>
    <row r="913" spans="1:15" x14ac:dyDescent="0.25">
      <c r="A913" t="s">
        <v>941</v>
      </c>
      <c r="B913" t="s">
        <v>18</v>
      </c>
      <c r="C913">
        <v>149</v>
      </c>
      <c r="D913" t="s">
        <v>9</v>
      </c>
      <c r="E913">
        <v>44</v>
      </c>
      <c r="F913">
        <v>2.2000000000000002</v>
      </c>
      <c r="G913" s="8">
        <v>45244</v>
      </c>
      <c r="H913">
        <v>2023</v>
      </c>
      <c r="I913">
        <v>4</v>
      </c>
      <c r="J913">
        <v>11</v>
      </c>
      <c r="K913" t="s">
        <v>1056</v>
      </c>
      <c r="L913" t="s">
        <v>1042</v>
      </c>
      <c r="M913">
        <v>2024</v>
      </c>
      <c r="N913" t="s">
        <v>1075</v>
      </c>
      <c r="O913">
        <v>2</v>
      </c>
    </row>
    <row r="914" spans="1:15" x14ac:dyDescent="0.25">
      <c r="A914" t="s">
        <v>942</v>
      </c>
      <c r="B914" t="s">
        <v>17</v>
      </c>
      <c r="C914">
        <v>138</v>
      </c>
      <c r="D914" t="s">
        <v>6</v>
      </c>
      <c r="E914">
        <v>105</v>
      </c>
      <c r="F914">
        <v>3.9</v>
      </c>
      <c r="G914" s="8">
        <v>45244</v>
      </c>
      <c r="H914">
        <v>2023</v>
      </c>
      <c r="I914">
        <v>4</v>
      </c>
      <c r="J914">
        <v>11</v>
      </c>
      <c r="K914" t="s">
        <v>1056</v>
      </c>
      <c r="L914" t="s">
        <v>1042</v>
      </c>
      <c r="M914">
        <v>2024</v>
      </c>
      <c r="N914" t="s">
        <v>1075</v>
      </c>
      <c r="O914">
        <v>4</v>
      </c>
    </row>
    <row r="915" spans="1:15" x14ac:dyDescent="0.25">
      <c r="A915" t="s">
        <v>943</v>
      </c>
      <c r="B915" t="s">
        <v>14</v>
      </c>
      <c r="C915">
        <v>113</v>
      </c>
      <c r="D915" t="s">
        <v>9</v>
      </c>
      <c r="E915">
        <v>34</v>
      </c>
      <c r="F915">
        <v>3.9</v>
      </c>
      <c r="G915" s="8">
        <v>45245</v>
      </c>
      <c r="H915">
        <v>2023</v>
      </c>
      <c r="I915">
        <v>4</v>
      </c>
      <c r="J915">
        <v>11</v>
      </c>
      <c r="K915" t="s">
        <v>1056</v>
      </c>
      <c r="L915" t="s">
        <v>1043</v>
      </c>
      <c r="M915">
        <v>2024</v>
      </c>
      <c r="N915" t="s">
        <v>1074</v>
      </c>
      <c r="O915">
        <v>4</v>
      </c>
    </row>
    <row r="916" spans="1:15" x14ac:dyDescent="0.25">
      <c r="A916" t="s">
        <v>944</v>
      </c>
      <c r="B916" t="s">
        <v>8</v>
      </c>
      <c r="C916">
        <v>88</v>
      </c>
      <c r="D916" t="s">
        <v>10</v>
      </c>
      <c r="E916">
        <v>220</v>
      </c>
      <c r="F916">
        <v>4.0999999999999996</v>
      </c>
      <c r="G916" s="8">
        <v>45245</v>
      </c>
      <c r="H916">
        <v>2023</v>
      </c>
      <c r="I916">
        <v>4</v>
      </c>
      <c r="J916">
        <v>11</v>
      </c>
      <c r="K916" t="s">
        <v>1056</v>
      </c>
      <c r="L916" t="s">
        <v>1043</v>
      </c>
      <c r="M916">
        <v>2024</v>
      </c>
      <c r="N916" t="s">
        <v>1074</v>
      </c>
      <c r="O916">
        <v>4</v>
      </c>
    </row>
    <row r="917" spans="1:15" x14ac:dyDescent="0.25">
      <c r="A917" t="s">
        <v>945</v>
      </c>
      <c r="B917" t="s">
        <v>20</v>
      </c>
      <c r="C917">
        <v>64</v>
      </c>
      <c r="D917" t="s">
        <v>6</v>
      </c>
      <c r="E917">
        <v>225</v>
      </c>
      <c r="F917">
        <v>4.5999999999999996</v>
      </c>
      <c r="G917" s="8">
        <v>45245</v>
      </c>
      <c r="H917">
        <v>2023</v>
      </c>
      <c r="I917">
        <v>4</v>
      </c>
      <c r="J917">
        <v>11</v>
      </c>
      <c r="K917" t="s">
        <v>1056</v>
      </c>
      <c r="L917" t="s">
        <v>1043</v>
      </c>
      <c r="M917">
        <v>2024</v>
      </c>
      <c r="N917" t="s">
        <v>1074</v>
      </c>
      <c r="O917">
        <v>5</v>
      </c>
    </row>
    <row r="918" spans="1:15" x14ac:dyDescent="0.25">
      <c r="A918" t="s">
        <v>946</v>
      </c>
      <c r="B918" t="s">
        <v>23</v>
      </c>
      <c r="C918">
        <v>53</v>
      </c>
      <c r="D918" t="s">
        <v>6</v>
      </c>
      <c r="E918">
        <v>37</v>
      </c>
      <c r="F918">
        <v>4.0999999999999996</v>
      </c>
      <c r="G918" s="8">
        <v>45246</v>
      </c>
      <c r="H918">
        <v>2023</v>
      </c>
      <c r="I918">
        <v>4</v>
      </c>
      <c r="J918">
        <v>11</v>
      </c>
      <c r="K918" t="s">
        <v>1056</v>
      </c>
      <c r="L918" t="s">
        <v>1044</v>
      </c>
      <c r="M918">
        <v>2024</v>
      </c>
      <c r="N918" t="s">
        <v>1076</v>
      </c>
      <c r="O918">
        <v>4</v>
      </c>
    </row>
    <row r="919" spans="1:15" x14ac:dyDescent="0.25">
      <c r="A919" t="s">
        <v>947</v>
      </c>
      <c r="B919" t="s">
        <v>16</v>
      </c>
      <c r="C919">
        <v>63</v>
      </c>
      <c r="D919" t="s">
        <v>9</v>
      </c>
      <c r="E919">
        <v>44</v>
      </c>
      <c r="F919">
        <v>5</v>
      </c>
      <c r="G919" s="8">
        <v>45246</v>
      </c>
      <c r="H919">
        <v>2023</v>
      </c>
      <c r="I919">
        <v>4</v>
      </c>
      <c r="J919">
        <v>11</v>
      </c>
      <c r="K919" t="s">
        <v>1056</v>
      </c>
      <c r="L919" t="s">
        <v>1044</v>
      </c>
      <c r="M919">
        <v>2024</v>
      </c>
      <c r="N919" t="s">
        <v>1074</v>
      </c>
      <c r="O919">
        <v>5</v>
      </c>
    </row>
    <row r="920" spans="1:15" x14ac:dyDescent="0.25">
      <c r="A920" t="s">
        <v>948</v>
      </c>
      <c r="B920" t="s">
        <v>15</v>
      </c>
      <c r="C920">
        <v>54</v>
      </c>
      <c r="D920" t="s">
        <v>9</v>
      </c>
      <c r="E920">
        <v>35</v>
      </c>
      <c r="F920">
        <v>2.8</v>
      </c>
      <c r="G920" s="8">
        <v>45247</v>
      </c>
      <c r="H920">
        <v>2023</v>
      </c>
      <c r="I920">
        <v>4</v>
      </c>
      <c r="J920">
        <v>11</v>
      </c>
      <c r="K920" t="s">
        <v>1056</v>
      </c>
      <c r="L920" t="s">
        <v>1045</v>
      </c>
      <c r="M920">
        <v>2024</v>
      </c>
      <c r="N920" t="s">
        <v>1076</v>
      </c>
      <c r="O920">
        <v>3</v>
      </c>
    </row>
    <row r="921" spans="1:15" x14ac:dyDescent="0.25">
      <c r="A921" t="s">
        <v>949</v>
      </c>
      <c r="B921" t="s">
        <v>16</v>
      </c>
      <c r="C921">
        <v>54</v>
      </c>
      <c r="D921" t="s">
        <v>10</v>
      </c>
      <c r="E921">
        <v>145</v>
      </c>
      <c r="F921">
        <v>2.7</v>
      </c>
      <c r="G921" s="8">
        <v>45247</v>
      </c>
      <c r="H921">
        <v>2023</v>
      </c>
      <c r="I921">
        <v>4</v>
      </c>
      <c r="J921">
        <v>11</v>
      </c>
      <c r="K921" t="s">
        <v>1056</v>
      </c>
      <c r="L921" t="s">
        <v>1045</v>
      </c>
      <c r="M921">
        <v>2024</v>
      </c>
      <c r="N921" t="s">
        <v>1076</v>
      </c>
      <c r="O921">
        <v>3</v>
      </c>
    </row>
    <row r="922" spans="1:15" x14ac:dyDescent="0.25">
      <c r="A922" t="s">
        <v>950</v>
      </c>
      <c r="B922" t="s">
        <v>18</v>
      </c>
      <c r="C922">
        <v>71</v>
      </c>
      <c r="D922" t="s">
        <v>6</v>
      </c>
      <c r="E922">
        <v>64</v>
      </c>
      <c r="F922">
        <v>3.9</v>
      </c>
      <c r="G922" s="8">
        <v>45247</v>
      </c>
      <c r="H922">
        <v>2023</v>
      </c>
      <c r="I922">
        <v>4</v>
      </c>
      <c r="J922">
        <v>11</v>
      </c>
      <c r="K922" t="s">
        <v>1056</v>
      </c>
      <c r="L922" t="s">
        <v>1045</v>
      </c>
      <c r="M922">
        <v>2024</v>
      </c>
      <c r="N922" t="s">
        <v>1074</v>
      </c>
      <c r="O922">
        <v>4</v>
      </c>
    </row>
    <row r="923" spans="1:15" x14ac:dyDescent="0.25">
      <c r="A923" t="s">
        <v>951</v>
      </c>
      <c r="B923" t="s">
        <v>16</v>
      </c>
      <c r="C923">
        <v>93</v>
      </c>
      <c r="D923" t="s">
        <v>10</v>
      </c>
      <c r="E923">
        <v>185</v>
      </c>
      <c r="F923">
        <v>4.3</v>
      </c>
      <c r="G923" s="8">
        <v>45248</v>
      </c>
      <c r="H923">
        <v>2023</v>
      </c>
      <c r="I923">
        <v>4</v>
      </c>
      <c r="J923">
        <v>11</v>
      </c>
      <c r="K923" t="s">
        <v>1056</v>
      </c>
      <c r="L923" t="s">
        <v>1046</v>
      </c>
      <c r="M923">
        <v>2024</v>
      </c>
      <c r="N923" t="s">
        <v>1074</v>
      </c>
      <c r="O923">
        <v>4</v>
      </c>
    </row>
    <row r="924" spans="1:15" x14ac:dyDescent="0.25">
      <c r="A924" t="s">
        <v>952</v>
      </c>
      <c r="B924" t="s">
        <v>21</v>
      </c>
      <c r="C924">
        <v>96</v>
      </c>
      <c r="D924" t="s">
        <v>9</v>
      </c>
      <c r="E924">
        <v>215</v>
      </c>
      <c r="F924">
        <v>2.5</v>
      </c>
      <c r="G924" s="8">
        <v>45248</v>
      </c>
      <c r="H924">
        <v>2023</v>
      </c>
      <c r="I924">
        <v>4</v>
      </c>
      <c r="J924">
        <v>11</v>
      </c>
      <c r="K924" t="s">
        <v>1056</v>
      </c>
      <c r="L924" t="s">
        <v>1046</v>
      </c>
      <c r="M924">
        <v>2024</v>
      </c>
      <c r="N924" t="s">
        <v>1074</v>
      </c>
      <c r="O924">
        <v>2</v>
      </c>
    </row>
    <row r="925" spans="1:15" x14ac:dyDescent="0.25">
      <c r="A925" t="s">
        <v>953</v>
      </c>
      <c r="B925" t="s">
        <v>24</v>
      </c>
      <c r="C925">
        <v>31</v>
      </c>
      <c r="D925" t="s">
        <v>11</v>
      </c>
      <c r="E925">
        <v>88</v>
      </c>
      <c r="F925">
        <v>3.4</v>
      </c>
      <c r="G925" s="8">
        <v>45248</v>
      </c>
      <c r="H925">
        <v>2023</v>
      </c>
      <c r="I925">
        <v>4</v>
      </c>
      <c r="J925">
        <v>11</v>
      </c>
      <c r="K925" t="s">
        <v>1056</v>
      </c>
      <c r="L925" t="s">
        <v>1046</v>
      </c>
      <c r="M925">
        <v>2024</v>
      </c>
      <c r="N925" t="s">
        <v>1076</v>
      </c>
      <c r="O925">
        <v>3</v>
      </c>
    </row>
    <row r="926" spans="1:15" x14ac:dyDescent="0.25">
      <c r="A926" t="s">
        <v>954</v>
      </c>
      <c r="B926" t="s">
        <v>16</v>
      </c>
      <c r="C926">
        <v>107</v>
      </c>
      <c r="D926" t="s">
        <v>6</v>
      </c>
      <c r="E926">
        <v>23</v>
      </c>
      <c r="F926">
        <v>3.4</v>
      </c>
      <c r="G926" s="8">
        <v>45248</v>
      </c>
      <c r="H926">
        <v>2023</v>
      </c>
      <c r="I926">
        <v>4</v>
      </c>
      <c r="J926">
        <v>11</v>
      </c>
      <c r="K926" t="s">
        <v>1056</v>
      </c>
      <c r="L926" t="s">
        <v>1046</v>
      </c>
      <c r="M926">
        <v>2024</v>
      </c>
      <c r="N926" t="s">
        <v>1074</v>
      </c>
      <c r="O926">
        <v>3</v>
      </c>
    </row>
    <row r="927" spans="1:15" x14ac:dyDescent="0.25">
      <c r="A927" t="s">
        <v>955</v>
      </c>
      <c r="B927" t="s">
        <v>23</v>
      </c>
      <c r="C927">
        <v>50</v>
      </c>
      <c r="D927" t="s">
        <v>11</v>
      </c>
      <c r="E927">
        <v>180</v>
      </c>
      <c r="F927">
        <v>1.8</v>
      </c>
      <c r="G927" s="8">
        <v>45249</v>
      </c>
      <c r="H927">
        <v>2023</v>
      </c>
      <c r="I927">
        <v>4</v>
      </c>
      <c r="J927">
        <v>11</v>
      </c>
      <c r="K927" t="s">
        <v>1056</v>
      </c>
      <c r="L927" t="s">
        <v>1040</v>
      </c>
      <c r="M927">
        <v>2024</v>
      </c>
      <c r="N927" t="s">
        <v>1076</v>
      </c>
      <c r="O927">
        <v>2</v>
      </c>
    </row>
    <row r="928" spans="1:15" x14ac:dyDescent="0.25">
      <c r="A928" t="s">
        <v>956</v>
      </c>
      <c r="B928" t="s">
        <v>17</v>
      </c>
      <c r="C928">
        <v>69</v>
      </c>
      <c r="D928" t="s">
        <v>6</v>
      </c>
      <c r="E928">
        <v>225</v>
      </c>
      <c r="F928">
        <v>3.7</v>
      </c>
      <c r="G928" s="8">
        <v>45250</v>
      </c>
      <c r="H928">
        <v>2023</v>
      </c>
      <c r="I928">
        <v>4</v>
      </c>
      <c r="J928">
        <v>11</v>
      </c>
      <c r="K928" t="s">
        <v>1056</v>
      </c>
      <c r="L928" t="s">
        <v>1041</v>
      </c>
      <c r="M928">
        <v>2024</v>
      </c>
      <c r="N928" t="s">
        <v>1074</v>
      </c>
      <c r="O928">
        <v>4</v>
      </c>
    </row>
    <row r="929" spans="1:15" x14ac:dyDescent="0.25">
      <c r="A929" t="s">
        <v>957</v>
      </c>
      <c r="B929" t="s">
        <v>8</v>
      </c>
      <c r="C929">
        <v>26</v>
      </c>
      <c r="D929" t="s">
        <v>9</v>
      </c>
      <c r="E929">
        <v>74</v>
      </c>
      <c r="F929">
        <v>4.0999999999999996</v>
      </c>
      <c r="G929" s="8">
        <v>45251</v>
      </c>
      <c r="H929">
        <v>2023</v>
      </c>
      <c r="I929">
        <v>4</v>
      </c>
      <c r="J929">
        <v>11</v>
      </c>
      <c r="K929" t="s">
        <v>1056</v>
      </c>
      <c r="L929" t="s">
        <v>1042</v>
      </c>
      <c r="M929">
        <v>2024</v>
      </c>
      <c r="N929" t="s">
        <v>1077</v>
      </c>
      <c r="O929">
        <v>4</v>
      </c>
    </row>
    <row r="930" spans="1:15" x14ac:dyDescent="0.25">
      <c r="A930" t="s">
        <v>958</v>
      </c>
      <c r="B930" t="s">
        <v>21</v>
      </c>
      <c r="C930">
        <v>158</v>
      </c>
      <c r="D930" t="s">
        <v>6</v>
      </c>
      <c r="E930">
        <v>36</v>
      </c>
      <c r="F930">
        <v>3</v>
      </c>
      <c r="G930" s="8">
        <v>45251</v>
      </c>
      <c r="H930">
        <v>2023</v>
      </c>
      <c r="I930">
        <v>4</v>
      </c>
      <c r="J930">
        <v>11</v>
      </c>
      <c r="K930" t="s">
        <v>1056</v>
      </c>
      <c r="L930" t="s">
        <v>1042</v>
      </c>
      <c r="M930">
        <v>2024</v>
      </c>
      <c r="N930" t="s">
        <v>1075</v>
      </c>
      <c r="O930">
        <v>3</v>
      </c>
    </row>
    <row r="931" spans="1:15" x14ac:dyDescent="0.25">
      <c r="A931" t="s">
        <v>959</v>
      </c>
      <c r="B931" t="s">
        <v>15</v>
      </c>
      <c r="C931">
        <v>99</v>
      </c>
      <c r="D931" t="s">
        <v>6</v>
      </c>
      <c r="E931">
        <v>116</v>
      </c>
      <c r="F931">
        <v>3.9</v>
      </c>
      <c r="G931" s="8">
        <v>45253</v>
      </c>
      <c r="H931">
        <v>2023</v>
      </c>
      <c r="I931">
        <v>4</v>
      </c>
      <c r="J931">
        <v>11</v>
      </c>
      <c r="K931" t="s">
        <v>1056</v>
      </c>
      <c r="L931" t="s">
        <v>1044</v>
      </c>
      <c r="M931">
        <v>2024</v>
      </c>
      <c r="N931" t="s">
        <v>1074</v>
      </c>
      <c r="O931">
        <v>4</v>
      </c>
    </row>
    <row r="932" spans="1:15" x14ac:dyDescent="0.25">
      <c r="A932" t="s">
        <v>960</v>
      </c>
      <c r="B932" t="s">
        <v>21</v>
      </c>
      <c r="C932">
        <v>78</v>
      </c>
      <c r="D932" t="s">
        <v>11</v>
      </c>
      <c r="E932">
        <v>140</v>
      </c>
      <c r="F932">
        <v>4</v>
      </c>
      <c r="G932" s="8">
        <v>45253</v>
      </c>
      <c r="H932">
        <v>2023</v>
      </c>
      <c r="I932">
        <v>4</v>
      </c>
      <c r="J932">
        <v>11</v>
      </c>
      <c r="K932" t="s">
        <v>1056</v>
      </c>
      <c r="L932" t="s">
        <v>1044</v>
      </c>
      <c r="M932">
        <v>2024</v>
      </c>
      <c r="N932" t="s">
        <v>1074</v>
      </c>
      <c r="O932">
        <v>4</v>
      </c>
    </row>
    <row r="933" spans="1:15" x14ac:dyDescent="0.25">
      <c r="A933" t="s">
        <v>961</v>
      </c>
      <c r="B933" t="s">
        <v>21</v>
      </c>
      <c r="C933">
        <v>102</v>
      </c>
      <c r="D933" t="s">
        <v>9</v>
      </c>
      <c r="E933">
        <v>104</v>
      </c>
      <c r="F933">
        <v>4.5</v>
      </c>
      <c r="G933" s="8">
        <v>45254</v>
      </c>
      <c r="H933">
        <v>2023</v>
      </c>
      <c r="I933">
        <v>4</v>
      </c>
      <c r="J933">
        <v>11</v>
      </c>
      <c r="K933" t="s">
        <v>1056</v>
      </c>
      <c r="L933" t="s">
        <v>1045</v>
      </c>
      <c r="M933">
        <v>2024</v>
      </c>
      <c r="N933" t="s">
        <v>1074</v>
      </c>
      <c r="O933">
        <v>4</v>
      </c>
    </row>
    <row r="934" spans="1:15" x14ac:dyDescent="0.25">
      <c r="A934" t="s">
        <v>962</v>
      </c>
      <c r="B934" t="s">
        <v>15</v>
      </c>
      <c r="C934">
        <v>158</v>
      </c>
      <c r="D934" t="s">
        <v>13</v>
      </c>
      <c r="E934">
        <v>148</v>
      </c>
      <c r="F934">
        <v>4</v>
      </c>
      <c r="G934" s="8">
        <v>45254</v>
      </c>
      <c r="H934">
        <v>2023</v>
      </c>
      <c r="I934">
        <v>4</v>
      </c>
      <c r="J934">
        <v>11</v>
      </c>
      <c r="K934" t="s">
        <v>1056</v>
      </c>
      <c r="L934" t="s">
        <v>1045</v>
      </c>
      <c r="M934">
        <v>2024</v>
      </c>
      <c r="N934" t="s">
        <v>1075</v>
      </c>
      <c r="O934">
        <v>4</v>
      </c>
    </row>
    <row r="935" spans="1:15" x14ac:dyDescent="0.25">
      <c r="A935" t="s">
        <v>963</v>
      </c>
      <c r="B935" t="s">
        <v>24</v>
      </c>
      <c r="C935">
        <v>56</v>
      </c>
      <c r="D935" t="s">
        <v>6</v>
      </c>
      <c r="E935">
        <v>205</v>
      </c>
      <c r="F935">
        <v>4.3</v>
      </c>
      <c r="G935" s="8">
        <v>45254</v>
      </c>
      <c r="H935">
        <v>2023</v>
      </c>
      <c r="I935">
        <v>4</v>
      </c>
      <c r="J935">
        <v>11</v>
      </c>
      <c r="K935" t="s">
        <v>1056</v>
      </c>
      <c r="L935" t="s">
        <v>1045</v>
      </c>
      <c r="M935">
        <v>2024</v>
      </c>
      <c r="N935" t="s">
        <v>1076</v>
      </c>
      <c r="O935">
        <v>4</v>
      </c>
    </row>
    <row r="936" spans="1:15" x14ac:dyDescent="0.25">
      <c r="A936" t="s">
        <v>964</v>
      </c>
      <c r="B936" t="s">
        <v>12</v>
      </c>
      <c r="C936">
        <v>17</v>
      </c>
      <c r="D936" t="s">
        <v>10</v>
      </c>
      <c r="E936">
        <v>210</v>
      </c>
      <c r="F936">
        <v>4.8</v>
      </c>
      <c r="G936" s="8">
        <v>45254</v>
      </c>
      <c r="H936">
        <v>2023</v>
      </c>
      <c r="I936">
        <v>4</v>
      </c>
      <c r="J936">
        <v>11</v>
      </c>
      <c r="K936" t="s">
        <v>1056</v>
      </c>
      <c r="L936" t="s">
        <v>1045</v>
      </c>
      <c r="M936">
        <v>2024</v>
      </c>
      <c r="N936" t="s">
        <v>1077</v>
      </c>
      <c r="O936">
        <v>5</v>
      </c>
    </row>
    <row r="937" spans="1:15" x14ac:dyDescent="0.25">
      <c r="A937" t="s">
        <v>965</v>
      </c>
      <c r="B937" t="s">
        <v>8</v>
      </c>
      <c r="C937">
        <v>104</v>
      </c>
      <c r="D937" t="s">
        <v>13</v>
      </c>
      <c r="E937">
        <v>41</v>
      </c>
      <c r="F937">
        <v>4.7</v>
      </c>
      <c r="G937" s="8">
        <v>45256</v>
      </c>
      <c r="H937">
        <v>2023</v>
      </c>
      <c r="I937">
        <v>4</v>
      </c>
      <c r="J937">
        <v>11</v>
      </c>
      <c r="K937" t="s">
        <v>1056</v>
      </c>
      <c r="L937" t="s">
        <v>1040</v>
      </c>
      <c r="M937">
        <v>2024</v>
      </c>
      <c r="N937" t="s">
        <v>1074</v>
      </c>
      <c r="O937">
        <v>5</v>
      </c>
    </row>
    <row r="938" spans="1:15" x14ac:dyDescent="0.25">
      <c r="A938" t="s">
        <v>966</v>
      </c>
      <c r="B938" t="s">
        <v>19</v>
      </c>
      <c r="C938">
        <v>96</v>
      </c>
      <c r="D938" t="s">
        <v>11</v>
      </c>
      <c r="E938">
        <v>136</v>
      </c>
      <c r="F938">
        <v>5</v>
      </c>
      <c r="G938" s="8">
        <v>45256</v>
      </c>
      <c r="H938">
        <v>2023</v>
      </c>
      <c r="I938">
        <v>4</v>
      </c>
      <c r="J938">
        <v>11</v>
      </c>
      <c r="K938" t="s">
        <v>1056</v>
      </c>
      <c r="L938" t="s">
        <v>1040</v>
      </c>
      <c r="M938">
        <v>2024</v>
      </c>
      <c r="N938" t="s">
        <v>1074</v>
      </c>
      <c r="O938">
        <v>5</v>
      </c>
    </row>
    <row r="939" spans="1:15" x14ac:dyDescent="0.25">
      <c r="A939" t="s">
        <v>967</v>
      </c>
      <c r="B939" t="s">
        <v>22</v>
      </c>
      <c r="C939">
        <v>83</v>
      </c>
      <c r="D939" t="s">
        <v>9</v>
      </c>
      <c r="E939">
        <v>126</v>
      </c>
      <c r="F939">
        <v>1.5</v>
      </c>
      <c r="G939" s="8">
        <v>45257</v>
      </c>
      <c r="H939">
        <v>2023</v>
      </c>
      <c r="I939">
        <v>4</v>
      </c>
      <c r="J939">
        <v>11</v>
      </c>
      <c r="K939" t="s">
        <v>1056</v>
      </c>
      <c r="L939" t="s">
        <v>1041</v>
      </c>
      <c r="M939">
        <v>2024</v>
      </c>
      <c r="N939" t="s">
        <v>1074</v>
      </c>
      <c r="O939">
        <v>2</v>
      </c>
    </row>
    <row r="940" spans="1:15" x14ac:dyDescent="0.25">
      <c r="A940" t="s">
        <v>968</v>
      </c>
      <c r="B940" t="s">
        <v>23</v>
      </c>
      <c r="C940">
        <v>80</v>
      </c>
      <c r="D940" t="s">
        <v>10</v>
      </c>
      <c r="E940">
        <v>148</v>
      </c>
      <c r="F940">
        <v>4.0999999999999996</v>
      </c>
      <c r="G940" s="8">
        <v>45258</v>
      </c>
      <c r="H940">
        <v>2023</v>
      </c>
      <c r="I940">
        <v>4</v>
      </c>
      <c r="J940">
        <v>11</v>
      </c>
      <c r="K940" t="s">
        <v>1056</v>
      </c>
      <c r="L940" t="s">
        <v>1042</v>
      </c>
      <c r="M940">
        <v>2024</v>
      </c>
      <c r="N940" t="s">
        <v>1074</v>
      </c>
      <c r="O940">
        <v>4</v>
      </c>
    </row>
    <row r="941" spans="1:15" x14ac:dyDescent="0.25">
      <c r="A941" t="s">
        <v>969</v>
      </c>
      <c r="B941" t="s">
        <v>22</v>
      </c>
      <c r="C941">
        <v>152</v>
      </c>
      <c r="D941" t="s">
        <v>9</v>
      </c>
      <c r="E941">
        <v>125</v>
      </c>
      <c r="F941">
        <v>3.9</v>
      </c>
      <c r="G941" s="8">
        <v>45258</v>
      </c>
      <c r="H941">
        <v>2023</v>
      </c>
      <c r="I941">
        <v>4</v>
      </c>
      <c r="J941">
        <v>11</v>
      </c>
      <c r="K941" t="s">
        <v>1056</v>
      </c>
      <c r="L941" t="s">
        <v>1042</v>
      </c>
      <c r="M941">
        <v>2024</v>
      </c>
      <c r="N941" t="s">
        <v>1075</v>
      </c>
      <c r="O941">
        <v>4</v>
      </c>
    </row>
    <row r="942" spans="1:15" x14ac:dyDescent="0.25">
      <c r="A942" t="s">
        <v>970</v>
      </c>
      <c r="B942" t="s">
        <v>18</v>
      </c>
      <c r="C942">
        <v>34</v>
      </c>
      <c r="D942" t="s">
        <v>11</v>
      </c>
      <c r="E942">
        <v>25</v>
      </c>
      <c r="F942">
        <v>4.0999999999999996</v>
      </c>
      <c r="G942" s="8">
        <v>45258</v>
      </c>
      <c r="H942">
        <v>2023</v>
      </c>
      <c r="I942">
        <v>4</v>
      </c>
      <c r="J942">
        <v>11</v>
      </c>
      <c r="K942" t="s">
        <v>1056</v>
      </c>
      <c r="L942" t="s">
        <v>1042</v>
      </c>
      <c r="M942">
        <v>2024</v>
      </c>
      <c r="N942" t="s">
        <v>1076</v>
      </c>
      <c r="O942">
        <v>4</v>
      </c>
    </row>
    <row r="943" spans="1:15" x14ac:dyDescent="0.25">
      <c r="A943" t="s">
        <v>971</v>
      </c>
      <c r="B943" t="s">
        <v>14</v>
      </c>
      <c r="C943">
        <v>2</v>
      </c>
      <c r="D943" t="s">
        <v>6</v>
      </c>
      <c r="E943">
        <v>62</v>
      </c>
      <c r="F943">
        <v>2.8</v>
      </c>
      <c r="G943" s="8">
        <v>45259</v>
      </c>
      <c r="H943">
        <v>2023</v>
      </c>
      <c r="I943">
        <v>4</v>
      </c>
      <c r="J943">
        <v>11</v>
      </c>
      <c r="K943" t="s">
        <v>1056</v>
      </c>
      <c r="L943" t="s">
        <v>1043</v>
      </c>
      <c r="M943">
        <v>2024</v>
      </c>
      <c r="N943" t="s">
        <v>1078</v>
      </c>
      <c r="O943">
        <v>3</v>
      </c>
    </row>
    <row r="944" spans="1:15" x14ac:dyDescent="0.25">
      <c r="A944" t="s">
        <v>972</v>
      </c>
      <c r="B944" t="s">
        <v>23</v>
      </c>
      <c r="C944">
        <v>140</v>
      </c>
      <c r="D944" t="s">
        <v>11</v>
      </c>
      <c r="E944">
        <v>90</v>
      </c>
      <c r="F944">
        <v>4.5999999999999996</v>
      </c>
      <c r="G944" s="8">
        <v>45260</v>
      </c>
      <c r="H944">
        <v>2023</v>
      </c>
      <c r="I944">
        <v>4</v>
      </c>
      <c r="J944">
        <v>11</v>
      </c>
      <c r="K944" t="s">
        <v>1056</v>
      </c>
      <c r="L944" t="s">
        <v>1044</v>
      </c>
      <c r="M944">
        <v>2024</v>
      </c>
      <c r="N944" t="s">
        <v>1075</v>
      </c>
      <c r="O944">
        <v>5</v>
      </c>
    </row>
    <row r="945" spans="1:15" x14ac:dyDescent="0.25">
      <c r="A945" t="s">
        <v>973</v>
      </c>
      <c r="B945" t="s">
        <v>12</v>
      </c>
      <c r="C945">
        <v>126</v>
      </c>
      <c r="D945" t="s">
        <v>13</v>
      </c>
      <c r="E945">
        <v>33</v>
      </c>
      <c r="F945">
        <v>4.8</v>
      </c>
      <c r="G945" s="8">
        <v>45261</v>
      </c>
      <c r="H945">
        <v>2023</v>
      </c>
      <c r="I945">
        <v>4</v>
      </c>
      <c r="J945">
        <v>12</v>
      </c>
      <c r="K945" t="s">
        <v>1057</v>
      </c>
      <c r="L945" t="s">
        <v>1045</v>
      </c>
      <c r="M945">
        <v>2024</v>
      </c>
      <c r="N945" t="s">
        <v>1075</v>
      </c>
      <c r="O945">
        <v>5</v>
      </c>
    </row>
    <row r="946" spans="1:15" x14ac:dyDescent="0.25">
      <c r="A946" t="s">
        <v>974</v>
      </c>
      <c r="B946" t="s">
        <v>21</v>
      </c>
      <c r="C946">
        <v>79</v>
      </c>
      <c r="D946" t="s">
        <v>6</v>
      </c>
      <c r="E946">
        <v>115</v>
      </c>
      <c r="F946">
        <v>2.2999999999999998</v>
      </c>
      <c r="G946" s="8">
        <v>45261</v>
      </c>
      <c r="H946">
        <v>2023</v>
      </c>
      <c r="I946">
        <v>4</v>
      </c>
      <c r="J946">
        <v>12</v>
      </c>
      <c r="K946" t="s">
        <v>1057</v>
      </c>
      <c r="L946" t="s">
        <v>1045</v>
      </c>
      <c r="M946">
        <v>2024</v>
      </c>
      <c r="N946" t="s">
        <v>1074</v>
      </c>
      <c r="O946">
        <v>2</v>
      </c>
    </row>
    <row r="947" spans="1:15" x14ac:dyDescent="0.25">
      <c r="A947" t="s">
        <v>975</v>
      </c>
      <c r="B947" t="s">
        <v>12</v>
      </c>
      <c r="C947">
        <v>133</v>
      </c>
      <c r="D947" t="s">
        <v>13</v>
      </c>
      <c r="E947">
        <v>45</v>
      </c>
      <c r="F947">
        <v>2.6</v>
      </c>
      <c r="G947" s="8">
        <v>45261</v>
      </c>
      <c r="H947">
        <v>2023</v>
      </c>
      <c r="I947">
        <v>4</v>
      </c>
      <c r="J947">
        <v>12</v>
      </c>
      <c r="K947" t="s">
        <v>1057</v>
      </c>
      <c r="L947" t="s">
        <v>1045</v>
      </c>
      <c r="M947">
        <v>2024</v>
      </c>
      <c r="N947" t="s">
        <v>1075</v>
      </c>
      <c r="O947">
        <v>3</v>
      </c>
    </row>
    <row r="948" spans="1:15" x14ac:dyDescent="0.25">
      <c r="A948" t="s">
        <v>976</v>
      </c>
      <c r="B948" t="s">
        <v>18</v>
      </c>
      <c r="C948">
        <v>97</v>
      </c>
      <c r="D948" t="s">
        <v>10</v>
      </c>
      <c r="E948">
        <v>114</v>
      </c>
      <c r="F948">
        <v>4.8</v>
      </c>
      <c r="G948" s="8">
        <v>45261</v>
      </c>
      <c r="H948">
        <v>2023</v>
      </c>
      <c r="I948">
        <v>4</v>
      </c>
      <c r="J948">
        <v>12</v>
      </c>
      <c r="K948" t="s">
        <v>1057</v>
      </c>
      <c r="L948" t="s">
        <v>1045</v>
      </c>
      <c r="M948">
        <v>2024</v>
      </c>
      <c r="N948" t="s">
        <v>1074</v>
      </c>
      <c r="O948">
        <v>5</v>
      </c>
    </row>
    <row r="949" spans="1:15" x14ac:dyDescent="0.25">
      <c r="A949" t="s">
        <v>977</v>
      </c>
      <c r="B949" t="s">
        <v>21</v>
      </c>
      <c r="C949">
        <v>102</v>
      </c>
      <c r="D949" t="s">
        <v>9</v>
      </c>
      <c r="E949">
        <v>72</v>
      </c>
      <c r="F949">
        <v>3.7</v>
      </c>
      <c r="G949" s="8">
        <v>45262</v>
      </c>
      <c r="H949">
        <v>2023</v>
      </c>
      <c r="I949">
        <v>4</v>
      </c>
      <c r="J949">
        <v>12</v>
      </c>
      <c r="K949" t="s">
        <v>1057</v>
      </c>
      <c r="L949" t="s">
        <v>1046</v>
      </c>
      <c r="M949">
        <v>2024</v>
      </c>
      <c r="N949" t="s">
        <v>1074</v>
      </c>
      <c r="O949">
        <v>4</v>
      </c>
    </row>
    <row r="950" spans="1:15" x14ac:dyDescent="0.25">
      <c r="A950" t="s">
        <v>978</v>
      </c>
      <c r="B950" t="s">
        <v>7</v>
      </c>
      <c r="C950">
        <v>62</v>
      </c>
      <c r="D950" t="s">
        <v>10</v>
      </c>
      <c r="E950">
        <v>205</v>
      </c>
      <c r="F950">
        <v>4.2</v>
      </c>
      <c r="G950" s="8">
        <v>45262</v>
      </c>
      <c r="H950">
        <v>2023</v>
      </c>
      <c r="I950">
        <v>4</v>
      </c>
      <c r="J950">
        <v>12</v>
      </c>
      <c r="K950" t="s">
        <v>1057</v>
      </c>
      <c r="L950" t="s">
        <v>1046</v>
      </c>
      <c r="M950">
        <v>2024</v>
      </c>
      <c r="N950" t="s">
        <v>1074</v>
      </c>
      <c r="O950">
        <v>4</v>
      </c>
    </row>
    <row r="951" spans="1:15" x14ac:dyDescent="0.25">
      <c r="A951" t="s">
        <v>979</v>
      </c>
      <c r="B951" t="s">
        <v>12</v>
      </c>
      <c r="C951">
        <v>149</v>
      </c>
      <c r="D951" t="s">
        <v>9</v>
      </c>
      <c r="E951">
        <v>42</v>
      </c>
      <c r="F951">
        <v>3.3</v>
      </c>
      <c r="G951" s="8">
        <v>45263</v>
      </c>
      <c r="H951">
        <v>2023</v>
      </c>
      <c r="I951">
        <v>4</v>
      </c>
      <c r="J951">
        <v>12</v>
      </c>
      <c r="K951" t="s">
        <v>1057</v>
      </c>
      <c r="L951" t="s">
        <v>1040</v>
      </c>
      <c r="M951">
        <v>2024</v>
      </c>
      <c r="N951" t="s">
        <v>1075</v>
      </c>
      <c r="O951">
        <v>3</v>
      </c>
    </row>
    <row r="952" spans="1:15" x14ac:dyDescent="0.25">
      <c r="A952" t="s">
        <v>980</v>
      </c>
      <c r="B952" t="s">
        <v>14</v>
      </c>
      <c r="C952">
        <v>133</v>
      </c>
      <c r="D952" t="s">
        <v>10</v>
      </c>
      <c r="E952">
        <v>96</v>
      </c>
      <c r="F952">
        <v>4.3</v>
      </c>
      <c r="G952" s="8">
        <v>45263</v>
      </c>
      <c r="H952">
        <v>2023</v>
      </c>
      <c r="I952">
        <v>4</v>
      </c>
      <c r="J952">
        <v>12</v>
      </c>
      <c r="K952" t="s">
        <v>1057</v>
      </c>
      <c r="L952" t="s">
        <v>1040</v>
      </c>
      <c r="M952">
        <v>2024</v>
      </c>
      <c r="N952" t="s">
        <v>1075</v>
      </c>
      <c r="O952">
        <v>4</v>
      </c>
    </row>
    <row r="953" spans="1:15" x14ac:dyDescent="0.25">
      <c r="A953" t="s">
        <v>981</v>
      </c>
      <c r="B953" t="s">
        <v>21</v>
      </c>
      <c r="C953">
        <v>51</v>
      </c>
      <c r="D953" t="s">
        <v>6</v>
      </c>
      <c r="E953">
        <v>64</v>
      </c>
      <c r="F953">
        <v>3.7</v>
      </c>
      <c r="G953" s="8">
        <v>45263</v>
      </c>
      <c r="H953">
        <v>2023</v>
      </c>
      <c r="I953">
        <v>4</v>
      </c>
      <c r="J953">
        <v>12</v>
      </c>
      <c r="K953" t="s">
        <v>1057</v>
      </c>
      <c r="L953" t="s">
        <v>1040</v>
      </c>
      <c r="M953">
        <v>2024</v>
      </c>
      <c r="N953" t="s">
        <v>1076</v>
      </c>
      <c r="O953">
        <v>4</v>
      </c>
    </row>
    <row r="954" spans="1:15" x14ac:dyDescent="0.25">
      <c r="A954" t="s">
        <v>982</v>
      </c>
      <c r="B954" t="s">
        <v>7</v>
      </c>
      <c r="C954">
        <v>110</v>
      </c>
      <c r="D954" t="s">
        <v>10</v>
      </c>
      <c r="E954">
        <v>72</v>
      </c>
      <c r="F954">
        <v>3.7</v>
      </c>
      <c r="G954" s="8">
        <v>45264</v>
      </c>
      <c r="H954">
        <v>2023</v>
      </c>
      <c r="I954">
        <v>4</v>
      </c>
      <c r="J954">
        <v>12</v>
      </c>
      <c r="K954" t="s">
        <v>1057</v>
      </c>
      <c r="L954" t="s">
        <v>1041</v>
      </c>
      <c r="M954">
        <v>2024</v>
      </c>
      <c r="N954" t="s">
        <v>1074</v>
      </c>
      <c r="O954">
        <v>4</v>
      </c>
    </row>
    <row r="955" spans="1:15" x14ac:dyDescent="0.25">
      <c r="A955" t="s">
        <v>983</v>
      </c>
      <c r="B955" t="s">
        <v>18</v>
      </c>
      <c r="C955">
        <v>38</v>
      </c>
      <c r="D955" t="s">
        <v>13</v>
      </c>
      <c r="E955">
        <v>27</v>
      </c>
      <c r="F955">
        <v>3.1</v>
      </c>
      <c r="G955" s="8">
        <v>45265</v>
      </c>
      <c r="H955">
        <v>2023</v>
      </c>
      <c r="I955">
        <v>4</v>
      </c>
      <c r="J955">
        <v>12</v>
      </c>
      <c r="K955" t="s">
        <v>1057</v>
      </c>
      <c r="L955" t="s">
        <v>1042</v>
      </c>
      <c r="M955">
        <v>2024</v>
      </c>
      <c r="N955" t="s">
        <v>1076</v>
      </c>
      <c r="O955">
        <v>3</v>
      </c>
    </row>
    <row r="956" spans="1:15" x14ac:dyDescent="0.25">
      <c r="A956" t="s">
        <v>984</v>
      </c>
      <c r="B956" t="s">
        <v>14</v>
      </c>
      <c r="C956">
        <v>78</v>
      </c>
      <c r="D956" t="s">
        <v>13</v>
      </c>
      <c r="E956">
        <v>200</v>
      </c>
      <c r="F956">
        <v>2.4</v>
      </c>
      <c r="G956" s="8">
        <v>45267</v>
      </c>
      <c r="H956">
        <v>2023</v>
      </c>
      <c r="I956">
        <v>4</v>
      </c>
      <c r="J956">
        <v>12</v>
      </c>
      <c r="K956" t="s">
        <v>1057</v>
      </c>
      <c r="L956" t="s">
        <v>1044</v>
      </c>
      <c r="M956">
        <v>2024</v>
      </c>
      <c r="N956" t="s">
        <v>1074</v>
      </c>
      <c r="O956">
        <v>2</v>
      </c>
    </row>
    <row r="957" spans="1:15" x14ac:dyDescent="0.25">
      <c r="A957" t="s">
        <v>985</v>
      </c>
      <c r="B957" t="s">
        <v>18</v>
      </c>
      <c r="C957">
        <v>25</v>
      </c>
      <c r="D957" t="s">
        <v>9</v>
      </c>
      <c r="E957">
        <v>93</v>
      </c>
      <c r="F957">
        <v>3.5</v>
      </c>
      <c r="G957" s="8">
        <v>45268</v>
      </c>
      <c r="H957">
        <v>2023</v>
      </c>
      <c r="I957">
        <v>4</v>
      </c>
      <c r="J957">
        <v>12</v>
      </c>
      <c r="K957" t="s">
        <v>1057</v>
      </c>
      <c r="L957" t="s">
        <v>1045</v>
      </c>
      <c r="M957">
        <v>2024</v>
      </c>
      <c r="N957" t="s">
        <v>1077</v>
      </c>
      <c r="O957">
        <v>4</v>
      </c>
    </row>
    <row r="958" spans="1:15" x14ac:dyDescent="0.25">
      <c r="A958" t="s">
        <v>986</v>
      </c>
      <c r="B958" t="s">
        <v>16</v>
      </c>
      <c r="C958">
        <v>50</v>
      </c>
      <c r="D958" t="s">
        <v>6</v>
      </c>
      <c r="E958">
        <v>54</v>
      </c>
      <c r="F958">
        <v>4.3</v>
      </c>
      <c r="G958" s="8">
        <v>45268</v>
      </c>
      <c r="H958">
        <v>2023</v>
      </c>
      <c r="I958">
        <v>4</v>
      </c>
      <c r="J958">
        <v>12</v>
      </c>
      <c r="K958" t="s">
        <v>1057</v>
      </c>
      <c r="L958" t="s">
        <v>1045</v>
      </c>
      <c r="M958">
        <v>2024</v>
      </c>
      <c r="N958" t="s">
        <v>1076</v>
      </c>
      <c r="O958">
        <v>4</v>
      </c>
    </row>
    <row r="959" spans="1:15" x14ac:dyDescent="0.25">
      <c r="A959" t="s">
        <v>987</v>
      </c>
      <c r="B959" t="s">
        <v>18</v>
      </c>
      <c r="C959">
        <v>103</v>
      </c>
      <c r="D959" t="s">
        <v>9</v>
      </c>
      <c r="E959">
        <v>72</v>
      </c>
      <c r="F959">
        <v>3.4</v>
      </c>
      <c r="G959" s="8">
        <v>45269</v>
      </c>
      <c r="H959">
        <v>2023</v>
      </c>
      <c r="I959">
        <v>4</v>
      </c>
      <c r="J959">
        <v>12</v>
      </c>
      <c r="K959" t="s">
        <v>1057</v>
      </c>
      <c r="L959" t="s">
        <v>1046</v>
      </c>
      <c r="M959">
        <v>2024</v>
      </c>
      <c r="N959" t="s">
        <v>1074</v>
      </c>
      <c r="O959">
        <v>3</v>
      </c>
    </row>
    <row r="960" spans="1:15" x14ac:dyDescent="0.25">
      <c r="A960" t="s">
        <v>988</v>
      </c>
      <c r="B960" t="s">
        <v>22</v>
      </c>
      <c r="C960">
        <v>63</v>
      </c>
      <c r="D960" t="s">
        <v>11</v>
      </c>
      <c r="E960">
        <v>82</v>
      </c>
      <c r="F960">
        <v>3.7</v>
      </c>
      <c r="G960" s="8">
        <v>45269</v>
      </c>
      <c r="H960">
        <v>2023</v>
      </c>
      <c r="I960">
        <v>4</v>
      </c>
      <c r="J960">
        <v>12</v>
      </c>
      <c r="K960" t="s">
        <v>1057</v>
      </c>
      <c r="L960" t="s">
        <v>1046</v>
      </c>
      <c r="M960">
        <v>2024</v>
      </c>
      <c r="N960" t="s">
        <v>1074</v>
      </c>
      <c r="O960">
        <v>4</v>
      </c>
    </row>
    <row r="961" spans="1:15" x14ac:dyDescent="0.25">
      <c r="A961" t="s">
        <v>989</v>
      </c>
      <c r="B961" t="s">
        <v>16</v>
      </c>
      <c r="C961">
        <v>96</v>
      </c>
      <c r="D961" t="s">
        <v>6</v>
      </c>
      <c r="E961">
        <v>164</v>
      </c>
      <c r="F961">
        <v>4.8</v>
      </c>
      <c r="G961" s="8">
        <v>45273</v>
      </c>
      <c r="H961">
        <v>2023</v>
      </c>
      <c r="I961">
        <v>4</v>
      </c>
      <c r="J961">
        <v>12</v>
      </c>
      <c r="K961" t="s">
        <v>1057</v>
      </c>
      <c r="L961" t="s">
        <v>1043</v>
      </c>
      <c r="M961">
        <v>2024</v>
      </c>
      <c r="N961" t="s">
        <v>1074</v>
      </c>
      <c r="O961">
        <v>5</v>
      </c>
    </row>
    <row r="962" spans="1:15" x14ac:dyDescent="0.25">
      <c r="A962" t="s">
        <v>990</v>
      </c>
      <c r="B962" t="s">
        <v>23</v>
      </c>
      <c r="C962">
        <v>94</v>
      </c>
      <c r="D962" t="s">
        <v>9</v>
      </c>
      <c r="E962">
        <v>78</v>
      </c>
      <c r="F962">
        <v>3.3</v>
      </c>
      <c r="G962" s="8">
        <v>45273</v>
      </c>
      <c r="H962">
        <v>2023</v>
      </c>
      <c r="I962">
        <v>4</v>
      </c>
      <c r="J962">
        <v>12</v>
      </c>
      <c r="K962" t="s">
        <v>1057</v>
      </c>
      <c r="L962" t="s">
        <v>1043</v>
      </c>
      <c r="M962">
        <v>2024</v>
      </c>
      <c r="N962" t="s">
        <v>1074</v>
      </c>
      <c r="O962">
        <v>3</v>
      </c>
    </row>
    <row r="963" spans="1:15" x14ac:dyDescent="0.25">
      <c r="A963" t="s">
        <v>991</v>
      </c>
      <c r="B963" t="s">
        <v>7</v>
      </c>
      <c r="C963">
        <v>46</v>
      </c>
      <c r="D963" t="s">
        <v>13</v>
      </c>
      <c r="E963">
        <v>135</v>
      </c>
      <c r="F963">
        <v>4.2</v>
      </c>
      <c r="G963" s="8">
        <v>45274</v>
      </c>
      <c r="H963">
        <v>2023</v>
      </c>
      <c r="I963">
        <v>4</v>
      </c>
      <c r="J963">
        <v>12</v>
      </c>
      <c r="K963" t="s">
        <v>1057</v>
      </c>
      <c r="L963" t="s">
        <v>1044</v>
      </c>
      <c r="M963">
        <v>2024</v>
      </c>
      <c r="N963" t="s">
        <v>1076</v>
      </c>
      <c r="O963">
        <v>4</v>
      </c>
    </row>
    <row r="964" spans="1:15" x14ac:dyDescent="0.25">
      <c r="A964" t="s">
        <v>992</v>
      </c>
      <c r="B964" t="s">
        <v>5</v>
      </c>
      <c r="C964">
        <v>127</v>
      </c>
      <c r="D964" t="s">
        <v>6</v>
      </c>
      <c r="E964">
        <v>145</v>
      </c>
      <c r="F964">
        <v>2.6</v>
      </c>
      <c r="G964" s="8">
        <v>45275</v>
      </c>
      <c r="H964">
        <v>2023</v>
      </c>
      <c r="I964">
        <v>4</v>
      </c>
      <c r="J964">
        <v>12</v>
      </c>
      <c r="K964" t="s">
        <v>1057</v>
      </c>
      <c r="L964" t="s">
        <v>1045</v>
      </c>
      <c r="M964">
        <v>2024</v>
      </c>
      <c r="N964" t="s">
        <v>1075</v>
      </c>
      <c r="O964">
        <v>3</v>
      </c>
    </row>
    <row r="965" spans="1:15" x14ac:dyDescent="0.25">
      <c r="A965" t="s">
        <v>993</v>
      </c>
      <c r="B965" t="s">
        <v>15</v>
      </c>
      <c r="C965">
        <v>96</v>
      </c>
      <c r="D965" t="s">
        <v>13</v>
      </c>
      <c r="E965">
        <v>115</v>
      </c>
      <c r="F965">
        <v>4.9000000000000004</v>
      </c>
      <c r="G965" s="8">
        <v>45275</v>
      </c>
      <c r="H965">
        <v>2023</v>
      </c>
      <c r="I965">
        <v>4</v>
      </c>
      <c r="J965">
        <v>12</v>
      </c>
      <c r="K965" t="s">
        <v>1057</v>
      </c>
      <c r="L965" t="s">
        <v>1045</v>
      </c>
      <c r="M965">
        <v>2024</v>
      </c>
      <c r="N965" t="s">
        <v>1074</v>
      </c>
      <c r="O965">
        <v>5</v>
      </c>
    </row>
    <row r="966" spans="1:15" x14ac:dyDescent="0.25">
      <c r="A966" t="s">
        <v>996</v>
      </c>
      <c r="B966" t="s">
        <v>17</v>
      </c>
      <c r="C966">
        <v>151</v>
      </c>
      <c r="D966" t="s">
        <v>9</v>
      </c>
      <c r="E966">
        <v>117</v>
      </c>
      <c r="F966">
        <v>2</v>
      </c>
      <c r="G966" s="8">
        <v>45275</v>
      </c>
      <c r="H966">
        <v>2023</v>
      </c>
      <c r="I966">
        <v>4</v>
      </c>
      <c r="J966">
        <v>12</v>
      </c>
      <c r="K966" t="s">
        <v>1057</v>
      </c>
      <c r="L966" t="s">
        <v>1045</v>
      </c>
      <c r="M966">
        <v>2024</v>
      </c>
      <c r="N966" t="s">
        <v>1075</v>
      </c>
      <c r="O966">
        <v>2</v>
      </c>
    </row>
    <row r="967" spans="1:15" x14ac:dyDescent="0.25">
      <c r="A967" t="s">
        <v>997</v>
      </c>
      <c r="B967" t="s">
        <v>5</v>
      </c>
      <c r="C967">
        <v>158</v>
      </c>
      <c r="D967" t="s">
        <v>10</v>
      </c>
      <c r="E967">
        <v>36</v>
      </c>
      <c r="F967">
        <v>4.7</v>
      </c>
      <c r="G967" s="8">
        <v>45276</v>
      </c>
      <c r="H967">
        <v>2023</v>
      </c>
      <c r="I967">
        <v>4</v>
      </c>
      <c r="J967">
        <v>12</v>
      </c>
      <c r="K967" t="s">
        <v>1057</v>
      </c>
      <c r="L967" t="s">
        <v>1046</v>
      </c>
      <c r="M967">
        <v>2024</v>
      </c>
      <c r="N967" t="s">
        <v>1075</v>
      </c>
      <c r="O967">
        <v>5</v>
      </c>
    </row>
    <row r="968" spans="1:15" x14ac:dyDescent="0.25">
      <c r="A968" t="s">
        <v>998</v>
      </c>
      <c r="B968" t="s">
        <v>23</v>
      </c>
      <c r="C968">
        <v>45</v>
      </c>
      <c r="D968" t="s">
        <v>10</v>
      </c>
      <c r="E968">
        <v>84</v>
      </c>
      <c r="F968">
        <v>2.8</v>
      </c>
      <c r="G968" s="8">
        <v>45276</v>
      </c>
      <c r="H968">
        <v>2023</v>
      </c>
      <c r="I968">
        <v>4</v>
      </c>
      <c r="J968">
        <v>12</v>
      </c>
      <c r="K968" t="s">
        <v>1057</v>
      </c>
      <c r="L968" t="s">
        <v>1046</v>
      </c>
      <c r="M968">
        <v>2024</v>
      </c>
      <c r="N968" t="s">
        <v>1076</v>
      </c>
      <c r="O968">
        <v>3</v>
      </c>
    </row>
    <row r="969" spans="1:15" x14ac:dyDescent="0.25">
      <c r="A969" t="s">
        <v>999</v>
      </c>
      <c r="B969" t="s">
        <v>24</v>
      </c>
      <c r="C969">
        <v>141</v>
      </c>
      <c r="D969" t="s">
        <v>10</v>
      </c>
      <c r="E969">
        <v>66</v>
      </c>
      <c r="F969">
        <v>3.2</v>
      </c>
      <c r="G969" s="8">
        <v>45276</v>
      </c>
      <c r="H969">
        <v>2023</v>
      </c>
      <c r="I969">
        <v>4</v>
      </c>
      <c r="J969">
        <v>12</v>
      </c>
      <c r="K969" t="s">
        <v>1057</v>
      </c>
      <c r="L969" t="s">
        <v>1046</v>
      </c>
      <c r="M969">
        <v>2024</v>
      </c>
      <c r="N969" t="s">
        <v>1075</v>
      </c>
      <c r="O969">
        <v>3</v>
      </c>
    </row>
    <row r="970" spans="1:15" x14ac:dyDescent="0.25">
      <c r="A970" t="s">
        <v>1000</v>
      </c>
      <c r="B970" t="s">
        <v>18</v>
      </c>
      <c r="C970">
        <v>147</v>
      </c>
      <c r="D970" t="s">
        <v>13</v>
      </c>
      <c r="E970">
        <v>76</v>
      </c>
      <c r="F970">
        <v>4.7</v>
      </c>
      <c r="G970" s="8">
        <v>45276</v>
      </c>
      <c r="H970">
        <v>2023</v>
      </c>
      <c r="I970">
        <v>4</v>
      </c>
      <c r="J970">
        <v>12</v>
      </c>
      <c r="K970" t="s">
        <v>1057</v>
      </c>
      <c r="L970" t="s">
        <v>1046</v>
      </c>
      <c r="M970">
        <v>2024</v>
      </c>
      <c r="N970" t="s">
        <v>1075</v>
      </c>
      <c r="O970">
        <v>5</v>
      </c>
    </row>
    <row r="971" spans="1:15" x14ac:dyDescent="0.25">
      <c r="A971" t="s">
        <v>1001</v>
      </c>
      <c r="B971" t="s">
        <v>19</v>
      </c>
      <c r="C971">
        <v>126</v>
      </c>
      <c r="D971" t="s">
        <v>13</v>
      </c>
      <c r="E971">
        <v>185</v>
      </c>
      <c r="F971">
        <v>4.8</v>
      </c>
      <c r="G971" s="8">
        <v>45276</v>
      </c>
      <c r="H971">
        <v>2023</v>
      </c>
      <c r="I971">
        <v>4</v>
      </c>
      <c r="J971">
        <v>12</v>
      </c>
      <c r="K971" t="s">
        <v>1057</v>
      </c>
      <c r="L971" t="s">
        <v>1046</v>
      </c>
      <c r="M971">
        <v>2024</v>
      </c>
      <c r="N971" t="s">
        <v>1075</v>
      </c>
      <c r="O971">
        <v>5</v>
      </c>
    </row>
    <row r="972" spans="1:15" x14ac:dyDescent="0.25">
      <c r="A972" t="s">
        <v>1002</v>
      </c>
      <c r="B972" t="s">
        <v>23</v>
      </c>
      <c r="C972">
        <v>126</v>
      </c>
      <c r="D972" t="s">
        <v>11</v>
      </c>
      <c r="E972">
        <v>80</v>
      </c>
      <c r="F972">
        <v>4.7</v>
      </c>
      <c r="G972" s="8">
        <v>45277</v>
      </c>
      <c r="H972">
        <v>2023</v>
      </c>
      <c r="I972">
        <v>4</v>
      </c>
      <c r="J972">
        <v>12</v>
      </c>
      <c r="K972" t="s">
        <v>1057</v>
      </c>
      <c r="L972" t="s">
        <v>1040</v>
      </c>
      <c r="M972">
        <v>2024</v>
      </c>
      <c r="N972" t="s">
        <v>1075</v>
      </c>
      <c r="O972">
        <v>5</v>
      </c>
    </row>
    <row r="973" spans="1:15" x14ac:dyDescent="0.25">
      <c r="A973" t="s">
        <v>1003</v>
      </c>
      <c r="B973" t="s">
        <v>14</v>
      </c>
      <c r="C973">
        <v>32</v>
      </c>
      <c r="D973" t="s">
        <v>13</v>
      </c>
      <c r="E973">
        <v>148</v>
      </c>
      <c r="F973">
        <v>4</v>
      </c>
      <c r="G973" s="8">
        <v>45277</v>
      </c>
      <c r="H973">
        <v>2023</v>
      </c>
      <c r="I973">
        <v>4</v>
      </c>
      <c r="J973">
        <v>12</v>
      </c>
      <c r="K973" t="s">
        <v>1057</v>
      </c>
      <c r="L973" t="s">
        <v>1040</v>
      </c>
      <c r="M973">
        <v>2024</v>
      </c>
      <c r="N973" t="s">
        <v>1076</v>
      </c>
      <c r="O973">
        <v>4</v>
      </c>
    </row>
    <row r="974" spans="1:15" x14ac:dyDescent="0.25">
      <c r="A974" t="s">
        <v>1004</v>
      </c>
      <c r="B974" t="s">
        <v>23</v>
      </c>
      <c r="C974">
        <v>84</v>
      </c>
      <c r="D974" t="s">
        <v>6</v>
      </c>
      <c r="E974">
        <v>180</v>
      </c>
      <c r="F974">
        <v>4.9000000000000004</v>
      </c>
      <c r="G974" s="8">
        <v>45279</v>
      </c>
      <c r="H974">
        <v>2023</v>
      </c>
      <c r="I974">
        <v>4</v>
      </c>
      <c r="J974">
        <v>12</v>
      </c>
      <c r="K974" t="s">
        <v>1057</v>
      </c>
      <c r="L974" t="s">
        <v>1042</v>
      </c>
      <c r="M974">
        <v>2024</v>
      </c>
      <c r="N974" t="s">
        <v>1074</v>
      </c>
      <c r="O974">
        <v>5</v>
      </c>
    </row>
    <row r="975" spans="1:15" x14ac:dyDescent="0.25">
      <c r="A975" t="s">
        <v>1005</v>
      </c>
      <c r="B975" t="s">
        <v>22</v>
      </c>
      <c r="C975">
        <v>120</v>
      </c>
      <c r="D975" t="s">
        <v>11</v>
      </c>
      <c r="E975">
        <v>190</v>
      </c>
      <c r="F975">
        <v>3.7</v>
      </c>
      <c r="G975" s="8">
        <v>45280</v>
      </c>
      <c r="H975">
        <v>2023</v>
      </c>
      <c r="I975">
        <v>4</v>
      </c>
      <c r="J975">
        <v>12</v>
      </c>
      <c r="K975" t="s">
        <v>1057</v>
      </c>
      <c r="L975" t="s">
        <v>1043</v>
      </c>
      <c r="M975">
        <v>2024</v>
      </c>
      <c r="N975" t="s">
        <v>1074</v>
      </c>
      <c r="O975">
        <v>4</v>
      </c>
    </row>
    <row r="976" spans="1:15" x14ac:dyDescent="0.25">
      <c r="A976" t="s">
        <v>1006</v>
      </c>
      <c r="B976" t="s">
        <v>8</v>
      </c>
      <c r="C976">
        <v>93</v>
      </c>
      <c r="D976" t="s">
        <v>13</v>
      </c>
      <c r="E976">
        <v>38</v>
      </c>
      <c r="F976">
        <v>4.5</v>
      </c>
      <c r="G976" s="8">
        <v>45280</v>
      </c>
      <c r="H976">
        <v>2023</v>
      </c>
      <c r="I976">
        <v>4</v>
      </c>
      <c r="J976">
        <v>12</v>
      </c>
      <c r="K976" t="s">
        <v>1057</v>
      </c>
      <c r="L976" t="s">
        <v>1043</v>
      </c>
      <c r="M976">
        <v>2024</v>
      </c>
      <c r="N976" t="s">
        <v>1074</v>
      </c>
      <c r="O976">
        <v>4</v>
      </c>
    </row>
    <row r="977" spans="1:15" x14ac:dyDescent="0.25">
      <c r="A977" t="s">
        <v>1007</v>
      </c>
      <c r="B977" t="s">
        <v>15</v>
      </c>
      <c r="C977">
        <v>76</v>
      </c>
      <c r="D977" t="s">
        <v>9</v>
      </c>
      <c r="E977">
        <v>82</v>
      </c>
      <c r="F977">
        <v>2.1</v>
      </c>
      <c r="G977" s="8">
        <v>45281</v>
      </c>
      <c r="H977">
        <v>2023</v>
      </c>
      <c r="I977">
        <v>4</v>
      </c>
      <c r="J977">
        <v>12</v>
      </c>
      <c r="K977" t="s">
        <v>1057</v>
      </c>
      <c r="L977" t="s">
        <v>1044</v>
      </c>
      <c r="M977">
        <v>2024</v>
      </c>
      <c r="N977" t="s">
        <v>1074</v>
      </c>
      <c r="O977">
        <v>2</v>
      </c>
    </row>
    <row r="978" spans="1:15" x14ac:dyDescent="0.25">
      <c r="A978" t="s">
        <v>1008</v>
      </c>
      <c r="B978" t="s">
        <v>5</v>
      </c>
      <c r="C978">
        <v>89</v>
      </c>
      <c r="D978" t="s">
        <v>13</v>
      </c>
      <c r="E978">
        <v>88</v>
      </c>
      <c r="F978">
        <v>2.8</v>
      </c>
      <c r="G978" s="8">
        <v>45284</v>
      </c>
      <c r="H978">
        <v>2023</v>
      </c>
      <c r="I978">
        <v>4</v>
      </c>
      <c r="J978">
        <v>12</v>
      </c>
      <c r="K978" t="s">
        <v>1057</v>
      </c>
      <c r="L978" t="s">
        <v>1040</v>
      </c>
      <c r="M978">
        <v>2024</v>
      </c>
      <c r="N978" t="s">
        <v>1074</v>
      </c>
      <c r="O978">
        <v>3</v>
      </c>
    </row>
    <row r="979" spans="1:15" x14ac:dyDescent="0.25">
      <c r="A979" t="s">
        <v>1009</v>
      </c>
      <c r="B979" t="s">
        <v>21</v>
      </c>
      <c r="C979">
        <v>91</v>
      </c>
      <c r="D979" t="s">
        <v>6</v>
      </c>
      <c r="E979">
        <v>42</v>
      </c>
      <c r="F979">
        <v>4.0999999999999996</v>
      </c>
      <c r="G979" s="8">
        <v>45284</v>
      </c>
      <c r="H979">
        <v>2023</v>
      </c>
      <c r="I979">
        <v>4</v>
      </c>
      <c r="J979">
        <v>12</v>
      </c>
      <c r="K979" t="s">
        <v>1057</v>
      </c>
      <c r="L979" t="s">
        <v>1040</v>
      </c>
      <c r="M979">
        <v>2024</v>
      </c>
      <c r="N979" t="s">
        <v>1074</v>
      </c>
      <c r="O979">
        <v>4</v>
      </c>
    </row>
    <row r="980" spans="1:15" x14ac:dyDescent="0.25">
      <c r="A980" t="s">
        <v>1010</v>
      </c>
      <c r="B980" t="s">
        <v>7</v>
      </c>
      <c r="C980">
        <v>7</v>
      </c>
      <c r="D980" t="s">
        <v>10</v>
      </c>
      <c r="E980">
        <v>64</v>
      </c>
      <c r="F980">
        <v>3.3</v>
      </c>
      <c r="G980" s="8">
        <v>45285</v>
      </c>
      <c r="H980">
        <v>2023</v>
      </c>
      <c r="I980">
        <v>4</v>
      </c>
      <c r="J980">
        <v>12</v>
      </c>
      <c r="K980" t="s">
        <v>1057</v>
      </c>
      <c r="L980" t="s">
        <v>1041</v>
      </c>
      <c r="M980">
        <v>2024</v>
      </c>
      <c r="N980" t="s">
        <v>1078</v>
      </c>
      <c r="O980">
        <v>3</v>
      </c>
    </row>
    <row r="981" spans="1:15" x14ac:dyDescent="0.25">
      <c r="A981" t="s">
        <v>1011</v>
      </c>
      <c r="B981" t="s">
        <v>14</v>
      </c>
      <c r="C981">
        <v>140</v>
      </c>
      <c r="D981" t="s">
        <v>10</v>
      </c>
      <c r="E981">
        <v>105</v>
      </c>
      <c r="F981">
        <v>1.7</v>
      </c>
      <c r="G981" s="8">
        <v>45285</v>
      </c>
      <c r="H981">
        <v>2023</v>
      </c>
      <c r="I981">
        <v>4</v>
      </c>
      <c r="J981">
        <v>12</v>
      </c>
      <c r="K981" t="s">
        <v>1057</v>
      </c>
      <c r="L981" t="s">
        <v>1041</v>
      </c>
      <c r="M981">
        <v>2024</v>
      </c>
      <c r="N981" t="s">
        <v>1075</v>
      </c>
      <c r="O981">
        <v>2</v>
      </c>
    </row>
    <row r="982" spans="1:15" x14ac:dyDescent="0.25">
      <c r="A982" t="s">
        <v>1012</v>
      </c>
      <c r="B982" t="s">
        <v>12</v>
      </c>
      <c r="C982">
        <v>58</v>
      </c>
      <c r="D982" t="s">
        <v>11</v>
      </c>
      <c r="E982">
        <v>25</v>
      </c>
      <c r="F982">
        <v>3.6</v>
      </c>
      <c r="G982" s="8">
        <v>45285</v>
      </c>
      <c r="H982">
        <v>2023</v>
      </c>
      <c r="I982">
        <v>4</v>
      </c>
      <c r="J982">
        <v>12</v>
      </c>
      <c r="K982" t="s">
        <v>1057</v>
      </c>
      <c r="L982" t="s">
        <v>1041</v>
      </c>
      <c r="M982">
        <v>2024</v>
      </c>
      <c r="N982" t="s">
        <v>1076</v>
      </c>
      <c r="O982">
        <v>4</v>
      </c>
    </row>
    <row r="983" spans="1:15" x14ac:dyDescent="0.25">
      <c r="A983" t="s">
        <v>1013</v>
      </c>
      <c r="B983" t="s">
        <v>20</v>
      </c>
      <c r="C983">
        <v>90</v>
      </c>
      <c r="D983" t="s">
        <v>9</v>
      </c>
      <c r="E983">
        <v>176</v>
      </c>
      <c r="F983">
        <v>3.6</v>
      </c>
      <c r="G983" s="8">
        <v>45286</v>
      </c>
      <c r="H983">
        <v>2023</v>
      </c>
      <c r="I983">
        <v>4</v>
      </c>
      <c r="J983">
        <v>12</v>
      </c>
      <c r="K983" t="s">
        <v>1057</v>
      </c>
      <c r="L983" t="s">
        <v>1042</v>
      </c>
      <c r="M983">
        <v>2024</v>
      </c>
      <c r="N983" t="s">
        <v>1074</v>
      </c>
      <c r="O983">
        <v>4</v>
      </c>
    </row>
    <row r="984" spans="1:15" x14ac:dyDescent="0.25">
      <c r="A984" t="s">
        <v>1014</v>
      </c>
      <c r="B984" t="s">
        <v>20</v>
      </c>
      <c r="C984">
        <v>106</v>
      </c>
      <c r="D984" t="s">
        <v>13</v>
      </c>
      <c r="E984">
        <v>46</v>
      </c>
      <c r="F984">
        <v>4.5999999999999996</v>
      </c>
      <c r="G984" s="8">
        <v>45287</v>
      </c>
      <c r="H984">
        <v>2023</v>
      </c>
      <c r="I984">
        <v>4</v>
      </c>
      <c r="J984">
        <v>12</v>
      </c>
      <c r="K984" t="s">
        <v>1057</v>
      </c>
      <c r="L984" t="s">
        <v>1043</v>
      </c>
      <c r="M984">
        <v>2024</v>
      </c>
      <c r="N984" t="s">
        <v>1074</v>
      </c>
      <c r="O984">
        <v>5</v>
      </c>
    </row>
    <row r="985" spans="1:15" x14ac:dyDescent="0.25">
      <c r="A985" t="s">
        <v>1015</v>
      </c>
      <c r="B985" t="s">
        <v>22</v>
      </c>
      <c r="C985">
        <v>72</v>
      </c>
      <c r="D985" t="s">
        <v>10</v>
      </c>
      <c r="E985">
        <v>164</v>
      </c>
      <c r="F985">
        <v>4.8</v>
      </c>
      <c r="G985" s="8">
        <v>45287</v>
      </c>
      <c r="H985">
        <v>2023</v>
      </c>
      <c r="I985">
        <v>4</v>
      </c>
      <c r="J985">
        <v>12</v>
      </c>
      <c r="K985" t="s">
        <v>1057</v>
      </c>
      <c r="L985" t="s">
        <v>1043</v>
      </c>
      <c r="M985">
        <v>2024</v>
      </c>
      <c r="N985" t="s">
        <v>1074</v>
      </c>
      <c r="O985">
        <v>5</v>
      </c>
    </row>
    <row r="986" spans="1:15" x14ac:dyDescent="0.25">
      <c r="A986" t="s">
        <v>1016</v>
      </c>
      <c r="B986" t="s">
        <v>7</v>
      </c>
      <c r="C986">
        <v>124</v>
      </c>
      <c r="D986" t="s">
        <v>10</v>
      </c>
      <c r="E986">
        <v>64</v>
      </c>
      <c r="F986">
        <v>4.5</v>
      </c>
      <c r="G986" s="8">
        <v>45288</v>
      </c>
      <c r="H986">
        <v>2023</v>
      </c>
      <c r="I986">
        <v>4</v>
      </c>
      <c r="J986">
        <v>12</v>
      </c>
      <c r="K986" t="s">
        <v>1057</v>
      </c>
      <c r="L986" t="s">
        <v>1044</v>
      </c>
      <c r="M986">
        <v>2024</v>
      </c>
      <c r="N986" t="s">
        <v>1075</v>
      </c>
      <c r="O986">
        <v>4</v>
      </c>
    </row>
    <row r="987" spans="1:15" x14ac:dyDescent="0.25">
      <c r="A987" t="s">
        <v>1017</v>
      </c>
      <c r="B987" t="s">
        <v>24</v>
      </c>
      <c r="C987">
        <v>86</v>
      </c>
      <c r="D987" t="s">
        <v>6</v>
      </c>
      <c r="E987">
        <v>205</v>
      </c>
      <c r="F987">
        <v>4.5</v>
      </c>
      <c r="G987" s="8">
        <v>45288</v>
      </c>
      <c r="H987">
        <v>2023</v>
      </c>
      <c r="I987">
        <v>4</v>
      </c>
      <c r="J987">
        <v>12</v>
      </c>
      <c r="K987" t="s">
        <v>1057</v>
      </c>
      <c r="L987" t="s">
        <v>1044</v>
      </c>
      <c r="M987">
        <v>2024</v>
      </c>
      <c r="N987" t="s">
        <v>1074</v>
      </c>
      <c r="O987">
        <v>4</v>
      </c>
    </row>
    <row r="988" spans="1:15" x14ac:dyDescent="0.25">
      <c r="A988" t="s">
        <v>1018</v>
      </c>
      <c r="B988" t="s">
        <v>23</v>
      </c>
      <c r="C988">
        <v>164</v>
      </c>
      <c r="D988" t="s">
        <v>6</v>
      </c>
      <c r="E988">
        <v>100</v>
      </c>
      <c r="F988">
        <v>4.5999999999999996</v>
      </c>
      <c r="G988" s="8">
        <v>45289</v>
      </c>
      <c r="H988">
        <v>2023</v>
      </c>
      <c r="I988">
        <v>4</v>
      </c>
      <c r="J988">
        <v>12</v>
      </c>
      <c r="K988" t="s">
        <v>1057</v>
      </c>
      <c r="L988" t="s">
        <v>1045</v>
      </c>
      <c r="M988">
        <v>2024</v>
      </c>
      <c r="N988" t="s">
        <v>1075</v>
      </c>
      <c r="O988">
        <v>5</v>
      </c>
    </row>
    <row r="989" spans="1:15" x14ac:dyDescent="0.25">
      <c r="A989" t="s">
        <v>1019</v>
      </c>
      <c r="B989" t="s">
        <v>8</v>
      </c>
      <c r="C989">
        <v>40</v>
      </c>
      <c r="D989" t="s">
        <v>9</v>
      </c>
      <c r="E989">
        <v>111</v>
      </c>
      <c r="F989">
        <v>4.5999999999999996</v>
      </c>
      <c r="G989" s="8">
        <v>45289</v>
      </c>
      <c r="H989">
        <v>2023</v>
      </c>
      <c r="I989">
        <v>4</v>
      </c>
      <c r="J989">
        <v>12</v>
      </c>
      <c r="K989" t="s">
        <v>1057</v>
      </c>
      <c r="L989" t="s">
        <v>1045</v>
      </c>
      <c r="M989">
        <v>2024</v>
      </c>
      <c r="N989" t="s">
        <v>1076</v>
      </c>
      <c r="O989">
        <v>5</v>
      </c>
    </row>
    <row r="990" spans="1:15" x14ac:dyDescent="0.25">
      <c r="A990" t="s">
        <v>1020</v>
      </c>
      <c r="B990" t="s">
        <v>21</v>
      </c>
      <c r="C990">
        <v>76</v>
      </c>
      <c r="D990" t="s">
        <v>11</v>
      </c>
      <c r="E990">
        <v>80</v>
      </c>
      <c r="F990">
        <v>3.5</v>
      </c>
      <c r="G990" s="8">
        <v>45289</v>
      </c>
      <c r="H990">
        <v>2023</v>
      </c>
      <c r="I990">
        <v>4</v>
      </c>
      <c r="J990">
        <v>12</v>
      </c>
      <c r="K990" t="s">
        <v>1057</v>
      </c>
      <c r="L990" t="s">
        <v>1045</v>
      </c>
      <c r="M990">
        <v>2024</v>
      </c>
      <c r="N990" t="s">
        <v>1074</v>
      </c>
      <c r="O990">
        <v>4</v>
      </c>
    </row>
    <row r="991" spans="1:15" x14ac:dyDescent="0.25">
      <c r="A991" t="s">
        <v>1021</v>
      </c>
      <c r="B991" t="s">
        <v>7</v>
      </c>
      <c r="C991">
        <v>95</v>
      </c>
      <c r="D991" t="s">
        <v>13</v>
      </c>
      <c r="E991">
        <v>50</v>
      </c>
      <c r="F991">
        <v>2.9</v>
      </c>
      <c r="G991" s="8">
        <v>45289</v>
      </c>
      <c r="H991">
        <v>2023</v>
      </c>
      <c r="I991">
        <v>4</v>
      </c>
      <c r="J991">
        <v>12</v>
      </c>
      <c r="K991" t="s">
        <v>1057</v>
      </c>
      <c r="L991" t="s">
        <v>1045</v>
      </c>
      <c r="M991">
        <v>2024</v>
      </c>
      <c r="N991" t="s">
        <v>1074</v>
      </c>
      <c r="O991">
        <v>3</v>
      </c>
    </row>
    <row r="992" spans="1:15" x14ac:dyDescent="0.25">
      <c r="A992" t="s">
        <v>1022</v>
      </c>
      <c r="B992" t="s">
        <v>21</v>
      </c>
      <c r="C992">
        <v>113</v>
      </c>
      <c r="D992" t="s">
        <v>10</v>
      </c>
      <c r="E992">
        <v>165</v>
      </c>
      <c r="F992">
        <v>4.7</v>
      </c>
      <c r="G992" s="8">
        <v>45290</v>
      </c>
      <c r="H992">
        <v>2023</v>
      </c>
      <c r="I992">
        <v>4</v>
      </c>
      <c r="J992">
        <v>12</v>
      </c>
      <c r="K992" t="s">
        <v>1057</v>
      </c>
      <c r="L992" t="s">
        <v>1046</v>
      </c>
      <c r="M992">
        <v>2024</v>
      </c>
      <c r="N992" t="s">
        <v>1074</v>
      </c>
      <c r="O992">
        <v>5</v>
      </c>
    </row>
    <row r="993" spans="1:15" x14ac:dyDescent="0.25">
      <c r="A993" t="s">
        <v>1023</v>
      </c>
      <c r="B993" t="s">
        <v>24</v>
      </c>
      <c r="C993">
        <v>81</v>
      </c>
      <c r="D993" t="s">
        <v>10</v>
      </c>
      <c r="E993">
        <v>28</v>
      </c>
      <c r="F993">
        <v>3.9</v>
      </c>
      <c r="G993" s="8">
        <v>45290</v>
      </c>
      <c r="H993">
        <v>2023</v>
      </c>
      <c r="I993">
        <v>4</v>
      </c>
      <c r="J993">
        <v>12</v>
      </c>
      <c r="K993" t="s">
        <v>1057</v>
      </c>
      <c r="L993" t="s">
        <v>1046</v>
      </c>
      <c r="M993">
        <v>2024</v>
      </c>
      <c r="N993" t="s">
        <v>1074</v>
      </c>
      <c r="O993">
        <v>4</v>
      </c>
    </row>
    <row r="994" spans="1:15" x14ac:dyDescent="0.25">
      <c r="A994" t="s">
        <v>1024</v>
      </c>
      <c r="B994" t="s">
        <v>15</v>
      </c>
      <c r="C994">
        <v>127</v>
      </c>
      <c r="D994" t="s">
        <v>13</v>
      </c>
      <c r="E994">
        <v>215</v>
      </c>
      <c r="F994">
        <v>3.8</v>
      </c>
      <c r="G994" s="8">
        <v>45290</v>
      </c>
      <c r="H994">
        <v>2023</v>
      </c>
      <c r="I994">
        <v>4</v>
      </c>
      <c r="J994">
        <v>12</v>
      </c>
      <c r="K994" t="s">
        <v>1057</v>
      </c>
      <c r="L994" t="s">
        <v>1046</v>
      </c>
      <c r="M994">
        <v>2024</v>
      </c>
      <c r="N994" t="s">
        <v>1075</v>
      </c>
      <c r="O994">
        <v>4</v>
      </c>
    </row>
    <row r="995" spans="1:15" x14ac:dyDescent="0.25">
      <c r="A995" t="s">
        <v>1025</v>
      </c>
      <c r="B995" t="s">
        <v>14</v>
      </c>
      <c r="C995">
        <v>146</v>
      </c>
      <c r="D995" t="s">
        <v>10</v>
      </c>
      <c r="E995">
        <v>115</v>
      </c>
      <c r="F995">
        <v>2.2999999999999998</v>
      </c>
      <c r="G995" s="8">
        <v>45291</v>
      </c>
      <c r="H995">
        <v>2023</v>
      </c>
      <c r="I995">
        <v>4</v>
      </c>
      <c r="J995">
        <v>12</v>
      </c>
      <c r="K995" t="s">
        <v>1057</v>
      </c>
      <c r="L995" t="s">
        <v>1040</v>
      </c>
      <c r="M995">
        <v>2024</v>
      </c>
      <c r="N995" t="s">
        <v>1075</v>
      </c>
      <c r="O995">
        <v>2</v>
      </c>
    </row>
    <row r="996" spans="1:15" x14ac:dyDescent="0.25">
      <c r="A996" t="s">
        <v>1026</v>
      </c>
      <c r="B996" t="s">
        <v>18</v>
      </c>
      <c r="C996">
        <v>123</v>
      </c>
      <c r="D996" t="s">
        <v>10</v>
      </c>
      <c r="E996">
        <v>64</v>
      </c>
      <c r="F996">
        <v>3.7</v>
      </c>
      <c r="G996" s="8">
        <v>45291</v>
      </c>
      <c r="H996">
        <v>2023</v>
      </c>
      <c r="I996">
        <v>4</v>
      </c>
      <c r="J996">
        <v>12</v>
      </c>
      <c r="K996" t="s">
        <v>1057</v>
      </c>
      <c r="L996" t="s">
        <v>1040</v>
      </c>
      <c r="M996">
        <v>2024</v>
      </c>
      <c r="N996" t="s">
        <v>1075</v>
      </c>
      <c r="O996">
        <v>4</v>
      </c>
    </row>
    <row r="997" spans="1:15" x14ac:dyDescent="0.25">
      <c r="A997" t="s">
        <v>1027</v>
      </c>
      <c r="B997" t="s">
        <v>22</v>
      </c>
      <c r="C997">
        <v>114</v>
      </c>
      <c r="D997" t="s">
        <v>11</v>
      </c>
      <c r="E997">
        <v>40</v>
      </c>
      <c r="F997">
        <v>3.9</v>
      </c>
      <c r="G997" s="8">
        <v>45291</v>
      </c>
      <c r="H997">
        <v>2023</v>
      </c>
      <c r="I997">
        <v>4</v>
      </c>
      <c r="J997">
        <v>12</v>
      </c>
      <c r="K997" t="s">
        <v>1057</v>
      </c>
      <c r="L997" t="s">
        <v>1040</v>
      </c>
      <c r="M997">
        <v>2024</v>
      </c>
      <c r="N997" t="s">
        <v>1074</v>
      </c>
      <c r="O997">
        <v>4</v>
      </c>
    </row>
    <row r="998" spans="1:15" x14ac:dyDescent="0.25">
      <c r="G998" s="8"/>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1CAD9-D843-4F4D-A013-67D2AD4883DF}">
  <dimension ref="A1:D16"/>
  <sheetViews>
    <sheetView workbookViewId="0">
      <selection activeCell="E29" sqref="E29"/>
    </sheetView>
  </sheetViews>
  <sheetFormatPr defaultRowHeight="15" x14ac:dyDescent="0.25"/>
  <cols>
    <col min="1" max="1" width="14.5" customWidth="1"/>
    <col min="2" max="2" width="13.625" customWidth="1"/>
    <col min="3" max="3" width="12.75" customWidth="1"/>
    <col min="4" max="4" width="11.5" customWidth="1"/>
    <col min="5" max="5" width="12.875" customWidth="1"/>
  </cols>
  <sheetData>
    <row r="1" spans="1:4" ht="16.5" customHeight="1" x14ac:dyDescent="0.25">
      <c r="A1" s="35" t="s">
        <v>0</v>
      </c>
      <c r="B1" s="36" t="s">
        <v>1140</v>
      </c>
      <c r="C1" s="36" t="s">
        <v>1141</v>
      </c>
      <c r="D1" s="37" t="s">
        <v>1142</v>
      </c>
    </row>
    <row r="2" spans="1:4" x14ac:dyDescent="0.25">
      <c r="A2" s="33" t="s">
        <v>17</v>
      </c>
      <c r="B2" s="30" t="s">
        <v>1143</v>
      </c>
      <c r="C2" s="2">
        <v>41</v>
      </c>
      <c r="D2" s="34" t="s">
        <v>1144</v>
      </c>
    </row>
    <row r="3" spans="1:4" x14ac:dyDescent="0.25">
      <c r="A3" s="33" t="s">
        <v>24</v>
      </c>
      <c r="B3" s="30" t="s">
        <v>1143</v>
      </c>
      <c r="C3" s="2">
        <v>31</v>
      </c>
      <c r="D3" s="34" t="s">
        <v>1145</v>
      </c>
    </row>
    <row r="4" spans="1:4" x14ac:dyDescent="0.25">
      <c r="A4" s="33" t="s">
        <v>20</v>
      </c>
      <c r="B4" s="30" t="s">
        <v>1143</v>
      </c>
      <c r="C4" s="2">
        <v>26</v>
      </c>
      <c r="D4" s="34" t="s">
        <v>1146</v>
      </c>
    </row>
    <row r="5" spans="1:4" x14ac:dyDescent="0.25">
      <c r="A5" s="33" t="s">
        <v>12</v>
      </c>
      <c r="B5" s="30" t="s">
        <v>1143</v>
      </c>
      <c r="C5" s="2">
        <v>36</v>
      </c>
      <c r="D5" s="34" t="s">
        <v>1146</v>
      </c>
    </row>
    <row r="6" spans="1:4" x14ac:dyDescent="0.25">
      <c r="A6" s="33" t="s">
        <v>23</v>
      </c>
      <c r="B6" s="30" t="s">
        <v>1143</v>
      </c>
      <c r="C6" s="2">
        <v>37</v>
      </c>
      <c r="D6" s="34" t="s">
        <v>1144</v>
      </c>
    </row>
    <row r="7" spans="1:4" x14ac:dyDescent="0.25">
      <c r="A7" s="33" t="s">
        <v>7</v>
      </c>
      <c r="B7" s="30" t="s">
        <v>1143</v>
      </c>
      <c r="C7" s="2">
        <v>23</v>
      </c>
      <c r="D7" s="34" t="s">
        <v>1144</v>
      </c>
    </row>
    <row r="8" spans="1:4" x14ac:dyDescent="0.25">
      <c r="A8" s="33" t="s">
        <v>15</v>
      </c>
      <c r="B8" s="30" t="s">
        <v>1147</v>
      </c>
      <c r="C8" s="2">
        <v>22</v>
      </c>
      <c r="D8" s="34" t="s">
        <v>1145</v>
      </c>
    </row>
    <row r="9" spans="1:4" x14ac:dyDescent="0.25">
      <c r="A9" s="33" t="s">
        <v>5</v>
      </c>
      <c r="B9" s="30" t="s">
        <v>1147</v>
      </c>
      <c r="C9" s="2">
        <v>42</v>
      </c>
      <c r="D9" s="34" t="s">
        <v>1145</v>
      </c>
    </row>
    <row r="10" spans="1:4" x14ac:dyDescent="0.25">
      <c r="A10" s="33" t="s">
        <v>22</v>
      </c>
      <c r="B10" s="30" t="s">
        <v>1147</v>
      </c>
      <c r="C10" s="2">
        <v>25</v>
      </c>
      <c r="D10" s="34" t="s">
        <v>1144</v>
      </c>
    </row>
    <row r="11" spans="1:4" x14ac:dyDescent="0.25">
      <c r="A11" s="33" t="s">
        <v>18</v>
      </c>
      <c r="B11" s="30" t="s">
        <v>1147</v>
      </c>
      <c r="C11" s="2">
        <v>30</v>
      </c>
      <c r="D11" s="34" t="s">
        <v>1145</v>
      </c>
    </row>
    <row r="12" spans="1:4" x14ac:dyDescent="0.25">
      <c r="A12" s="33" t="s">
        <v>8</v>
      </c>
      <c r="B12" s="30" t="s">
        <v>1147</v>
      </c>
      <c r="C12" s="2">
        <v>30</v>
      </c>
      <c r="D12" s="34" t="s">
        <v>1146</v>
      </c>
    </row>
    <row r="13" spans="1:4" x14ac:dyDescent="0.25">
      <c r="A13" s="33" t="s">
        <v>16</v>
      </c>
      <c r="B13" s="30" t="s">
        <v>1147</v>
      </c>
      <c r="C13" s="2">
        <v>28</v>
      </c>
      <c r="D13" s="34" t="s">
        <v>1146</v>
      </c>
    </row>
    <row r="14" spans="1:4" x14ac:dyDescent="0.25">
      <c r="A14" s="33" t="s">
        <v>14</v>
      </c>
      <c r="B14" s="30" t="s">
        <v>1147</v>
      </c>
      <c r="C14" s="2">
        <v>37</v>
      </c>
      <c r="D14" s="34" t="s">
        <v>1145</v>
      </c>
    </row>
    <row r="15" spans="1:4" x14ac:dyDescent="0.25">
      <c r="A15" s="33" t="s">
        <v>21</v>
      </c>
      <c r="B15" s="30" t="s">
        <v>1147</v>
      </c>
      <c r="C15" s="2">
        <v>38</v>
      </c>
      <c r="D15" s="34" t="s">
        <v>1144</v>
      </c>
    </row>
    <row r="16" spans="1:4" x14ac:dyDescent="0.25">
      <c r="A16" s="38" t="s">
        <v>19</v>
      </c>
      <c r="B16" s="39" t="s">
        <v>1147</v>
      </c>
      <c r="C16" s="40">
        <v>43</v>
      </c>
      <c r="D16" s="41" t="s">
        <v>1145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DB4F-1E41-4627-9947-A67809369675}">
  <dimension ref="A1:K119"/>
  <sheetViews>
    <sheetView workbookViewId="0">
      <selection activeCell="G124" sqref="G124"/>
    </sheetView>
  </sheetViews>
  <sheetFormatPr defaultRowHeight="15" x14ac:dyDescent="0.25"/>
  <cols>
    <col min="1" max="1" width="14.75" customWidth="1"/>
    <col min="2" max="2" width="15.375" customWidth="1"/>
    <col min="3" max="3" width="16.125" customWidth="1"/>
    <col min="4" max="4" width="16.625" customWidth="1"/>
    <col min="5" max="5" width="13.625" customWidth="1"/>
    <col min="6" max="6" width="14.875" customWidth="1"/>
    <col min="7" max="7" width="12.875" customWidth="1"/>
    <col min="8" max="8" width="15" customWidth="1"/>
    <col min="9" max="9" width="13.375" customWidth="1"/>
    <col min="10" max="10" width="23.625" customWidth="1"/>
    <col min="11" max="11" width="9.875" bestFit="1" customWidth="1"/>
  </cols>
  <sheetData>
    <row r="1" spans="1:4" x14ac:dyDescent="0.25">
      <c r="A1" s="13" t="s">
        <v>1102</v>
      </c>
      <c r="B1" s="12"/>
    </row>
    <row r="3" spans="1:4" x14ac:dyDescent="0.25">
      <c r="A3" s="21" t="s">
        <v>1105</v>
      </c>
      <c r="B3" s="21"/>
      <c r="C3" s="21"/>
      <c r="D3" s="21"/>
    </row>
    <row r="4" spans="1:4" x14ac:dyDescent="0.25">
      <c r="A4" s="22" t="s">
        <v>1101</v>
      </c>
      <c r="B4" s="22" t="s">
        <v>1103</v>
      </c>
      <c r="C4" s="22" t="s">
        <v>1097</v>
      </c>
      <c r="D4" s="22" t="s">
        <v>1104</v>
      </c>
    </row>
    <row r="5" spans="1:4" x14ac:dyDescent="0.25">
      <c r="A5" t="str" cm="1">
        <f t="array" ref="A5:A19">_xlfn._xlws.SORT(_xlfn.UNIQUE(calls_2[Customer_ID]))</f>
        <v>C0001</v>
      </c>
      <c r="B5">
        <f>COUNTIF(calls_2[Customer_ID],A5)</f>
        <v>65</v>
      </c>
      <c r="C5" s="18">
        <f>SUMIF(calls_2[Customer_ID], A5, calls_2[Purchase_Amount])</f>
        <v>6785</v>
      </c>
      <c r="D5" s="15">
        <f>C5/B5</f>
        <v>104.38461538461539</v>
      </c>
    </row>
    <row r="6" spans="1:4" x14ac:dyDescent="0.25">
      <c r="A6" t="str">
        <v>C0002</v>
      </c>
      <c r="B6">
        <f>COUNTIF(calls_2[Customer_ID],A6)</f>
        <v>63</v>
      </c>
      <c r="C6" s="18">
        <f>SUMIF(calls_2[Customer_ID], A6, calls_2[Purchase_Amount])</f>
        <v>5634</v>
      </c>
      <c r="D6" s="15">
        <f t="shared" ref="D6:D19" si="0">C6/B6</f>
        <v>89.428571428571431</v>
      </c>
    </row>
    <row r="7" spans="1:4" x14ac:dyDescent="0.25">
      <c r="A7" t="str">
        <v>C0003</v>
      </c>
      <c r="B7">
        <f>COUNTIF(calls_2[Customer_ID],A7)</f>
        <v>49</v>
      </c>
      <c r="C7" s="18">
        <f>SUMIF(calls_2[Customer_ID], A7, calls_2[Purchase_Amount])</f>
        <v>4758</v>
      </c>
      <c r="D7" s="15">
        <f t="shared" si="0"/>
        <v>97.102040816326536</v>
      </c>
    </row>
    <row r="8" spans="1:4" x14ac:dyDescent="0.25">
      <c r="A8" t="str">
        <v>C0004</v>
      </c>
      <c r="B8">
        <f>COUNTIF(calls_2[Customer_ID],A8)</f>
        <v>82</v>
      </c>
      <c r="C8" s="18">
        <f>SUMIF(calls_2[Customer_ID], A8, calls_2[Purchase_Amount])</f>
        <v>7689</v>
      </c>
      <c r="D8" s="15">
        <f t="shared" si="0"/>
        <v>93.768292682926827</v>
      </c>
    </row>
    <row r="9" spans="1:4" x14ac:dyDescent="0.25">
      <c r="A9" t="str">
        <v>C0005</v>
      </c>
      <c r="B9">
        <f>COUNTIF(calls_2[Customer_ID],A9)</f>
        <v>79</v>
      </c>
      <c r="C9" s="18">
        <f>SUMIF(calls_2[Customer_ID], A9, calls_2[Purchase_Amount])</f>
        <v>7747</v>
      </c>
      <c r="D9" s="15">
        <f t="shared" si="0"/>
        <v>98.063291139240505</v>
      </c>
    </row>
    <row r="10" spans="1:4" x14ac:dyDescent="0.25">
      <c r="A10" t="str">
        <v>C0006</v>
      </c>
      <c r="B10">
        <f>COUNTIF(calls_2[Customer_ID],A10)</f>
        <v>61</v>
      </c>
      <c r="C10" s="18">
        <f>SUMIF(calls_2[Customer_ID], A10, calls_2[Purchase_Amount])</f>
        <v>6122</v>
      </c>
      <c r="D10" s="15">
        <f t="shared" si="0"/>
        <v>100.36065573770492</v>
      </c>
    </row>
    <row r="11" spans="1:4" x14ac:dyDescent="0.25">
      <c r="A11" t="str">
        <v>C0007</v>
      </c>
      <c r="B11">
        <f>COUNTIF(calls_2[Customer_ID],A11)</f>
        <v>67</v>
      </c>
      <c r="C11" s="18">
        <f>SUMIF(calls_2[Customer_ID], A11, calls_2[Purchase_Amount])</f>
        <v>7216</v>
      </c>
      <c r="D11" s="15">
        <f t="shared" si="0"/>
        <v>107.70149253731343</v>
      </c>
    </row>
    <row r="12" spans="1:4" x14ac:dyDescent="0.25">
      <c r="A12" t="str">
        <v>C0008</v>
      </c>
      <c r="B12">
        <f>COUNTIF(calls_2[Customer_ID],A12)</f>
        <v>58</v>
      </c>
      <c r="C12" s="18">
        <f>SUMIF(calls_2[Customer_ID], A12, calls_2[Purchase_Amount])</f>
        <v>4972</v>
      </c>
      <c r="D12" s="15">
        <f t="shared" si="0"/>
        <v>85.724137931034477</v>
      </c>
    </row>
    <row r="13" spans="1:4" x14ac:dyDescent="0.25">
      <c r="A13" t="str">
        <v>C0009</v>
      </c>
      <c r="B13">
        <f>COUNTIF(calls_2[Customer_ID],A13)</f>
        <v>68</v>
      </c>
      <c r="C13" s="18">
        <f>SUMIF(calls_2[Customer_ID], A13, calls_2[Purchase_Amount])</f>
        <v>6569</v>
      </c>
      <c r="D13" s="15">
        <f t="shared" si="0"/>
        <v>96.602941176470594</v>
      </c>
    </row>
    <row r="14" spans="1:4" x14ac:dyDescent="0.25">
      <c r="A14" t="str">
        <v>C0010</v>
      </c>
      <c r="B14">
        <f>COUNTIF(calls_2[Customer_ID],A14)</f>
        <v>72</v>
      </c>
      <c r="C14" s="18">
        <f>SUMIF(calls_2[Customer_ID], A14, calls_2[Purchase_Amount])</f>
        <v>6242</v>
      </c>
      <c r="D14" s="15">
        <f t="shared" si="0"/>
        <v>86.694444444444443</v>
      </c>
    </row>
    <row r="15" spans="1:4" x14ac:dyDescent="0.25">
      <c r="A15" t="str">
        <v>C0011</v>
      </c>
      <c r="B15">
        <f>COUNTIF(calls_2[Customer_ID],A15)</f>
        <v>74</v>
      </c>
      <c r="C15" s="18">
        <f>SUMIF(calls_2[Customer_ID], A15, calls_2[Purchase_Amount])</f>
        <v>6749</v>
      </c>
      <c r="D15" s="15">
        <f t="shared" si="0"/>
        <v>91.202702702702709</v>
      </c>
    </row>
    <row r="16" spans="1:4" x14ac:dyDescent="0.25">
      <c r="A16" t="str">
        <v>C0012</v>
      </c>
      <c r="B16">
        <f>COUNTIF(calls_2[Customer_ID],A16)</f>
        <v>70</v>
      </c>
      <c r="C16" s="18">
        <f>SUMIF(calls_2[Customer_ID], A16, calls_2[Purchase_Amount])</f>
        <v>6819</v>
      </c>
      <c r="D16" s="15">
        <f t="shared" si="0"/>
        <v>97.414285714285711</v>
      </c>
    </row>
    <row r="17" spans="1:10" x14ac:dyDescent="0.25">
      <c r="A17" t="str">
        <v>C0013</v>
      </c>
      <c r="B17">
        <f>COUNTIF(calls_2[Customer_ID],A17)</f>
        <v>69</v>
      </c>
      <c r="C17" s="18">
        <f>SUMIF(calls_2[Customer_ID], A17, calls_2[Purchase_Amount])</f>
        <v>7230</v>
      </c>
      <c r="D17" s="15">
        <f t="shared" si="0"/>
        <v>104.78260869565217</v>
      </c>
    </row>
    <row r="18" spans="1:10" x14ac:dyDescent="0.25">
      <c r="A18" t="str">
        <v>C0014</v>
      </c>
      <c r="B18">
        <f>COUNTIF(calls_2[Customer_ID],A18)</f>
        <v>60</v>
      </c>
      <c r="C18" s="18">
        <f>SUMIF(calls_2[Customer_ID], A18, calls_2[Purchase_Amount])</f>
        <v>5404</v>
      </c>
      <c r="D18" s="15">
        <f t="shared" si="0"/>
        <v>90.066666666666663</v>
      </c>
    </row>
    <row r="19" spans="1:10" x14ac:dyDescent="0.25">
      <c r="A19" t="str">
        <v>C0015</v>
      </c>
      <c r="B19">
        <f>COUNTIF(calls_2[Customer_ID],A19)</f>
        <v>59</v>
      </c>
      <c r="C19" s="18">
        <f>SUMIF(calls_2[Customer_ID], A19, calls_2[Purchase_Amount])</f>
        <v>6518</v>
      </c>
      <c r="D19" s="15">
        <f t="shared" si="0"/>
        <v>110.47457627118644</v>
      </c>
    </row>
    <row r="22" spans="1:10" x14ac:dyDescent="0.25">
      <c r="A22" s="21" t="s">
        <v>1106</v>
      </c>
      <c r="B22" s="21"/>
      <c r="D22" s="21" t="s">
        <v>1108</v>
      </c>
      <c r="E22" s="21"/>
      <c r="H22" s="21" t="s">
        <v>1109</v>
      </c>
      <c r="I22" s="21"/>
      <c r="J22" s="21"/>
    </row>
    <row r="23" spans="1:10" x14ac:dyDescent="0.25">
      <c r="A23" s="22" t="s">
        <v>3</v>
      </c>
      <c r="B23" s="22" t="s">
        <v>1107</v>
      </c>
      <c r="D23" s="22" t="s">
        <v>1095</v>
      </c>
      <c r="E23" s="22" t="s">
        <v>1107</v>
      </c>
      <c r="H23" s="22" t="s">
        <v>3</v>
      </c>
      <c r="I23" s="22" t="s">
        <v>1110</v>
      </c>
      <c r="J23" s="23"/>
    </row>
    <row r="24" spans="1:10" x14ac:dyDescent="0.25">
      <c r="A24" t="str" cm="1">
        <f t="array" ref="A24:A28">_xlfn._xlws.SORT(_xlfn.UNIQUE(calls_2[Representative]))</f>
        <v>R01</v>
      </c>
      <c r="B24" s="18">
        <f>SUMIF(calls_2[Representative],A24,calls_2[Purchase_Amount])</f>
        <v>18415</v>
      </c>
      <c r="D24" t="str" cm="1">
        <f t="array" ref="D24:D38">_xlfn._xlws.SORT(_xlfn.UNIQUE(calls_2[Customer_ID]))</f>
        <v>C0001</v>
      </c>
      <c r="E24" s="18">
        <f>SUMIF(calls_2[Customer_ID], D24, calls_2[Purchase_Amount])</f>
        <v>6785</v>
      </c>
      <c r="H24" t="str" cm="1">
        <f t="array" ref="H24:H28">_xlfn._xlws.SORT(_xlfn.UNIQUE(calls_2[Representative]))</f>
        <v>R01</v>
      </c>
      <c r="I24" s="17">
        <f>AVERAGEIFS(calls_2[Call_Duration],calls_2[Representative],H24)</f>
        <v>89.068783068783063</v>
      </c>
    </row>
    <row r="25" spans="1:10" x14ac:dyDescent="0.25">
      <c r="A25" t="str">
        <v>R02</v>
      </c>
      <c r="B25" s="18">
        <f>SUMIF(calls_2[Representative],A25,calls_2[Purchase_Amount])</f>
        <v>20535</v>
      </c>
      <c r="D25" t="str">
        <v>C0002</v>
      </c>
      <c r="E25" s="18">
        <f>SUMIF(calls_2[Customer_ID], D25, calls_2[Purchase_Amount])</f>
        <v>5634</v>
      </c>
      <c r="H25" t="str">
        <v>R02</v>
      </c>
      <c r="I25" s="17">
        <f>AVERAGEIFS(calls_2[Call_Duration],calls_2[Representative],H25)</f>
        <v>88.497695852534562</v>
      </c>
    </row>
    <row r="26" spans="1:10" x14ac:dyDescent="0.25">
      <c r="A26" t="str">
        <v>R03</v>
      </c>
      <c r="B26" s="18">
        <f>SUMIF(calls_2[Representative],A26,calls_2[Purchase_Amount])</f>
        <v>20818</v>
      </c>
      <c r="D26" t="str">
        <v>C0003</v>
      </c>
      <c r="E26" s="18">
        <f>SUMIF(calls_2[Customer_ID], D26, calls_2[Purchase_Amount])</f>
        <v>4758</v>
      </c>
      <c r="H26" t="str">
        <v>R03</v>
      </c>
      <c r="I26" s="17">
        <f>AVERAGEIFS(calls_2[Call_Duration],calls_2[Representative],H26)</f>
        <v>85.237864077669897</v>
      </c>
    </row>
    <row r="27" spans="1:10" x14ac:dyDescent="0.25">
      <c r="A27" t="str">
        <v>R04</v>
      </c>
      <c r="B27" s="18">
        <f>SUMIF(calls_2[Representative],A27,calls_2[Purchase_Amount])</f>
        <v>16582</v>
      </c>
      <c r="D27" t="str">
        <v>C0004</v>
      </c>
      <c r="E27" s="18">
        <f>SUMIF(calls_2[Customer_ID], D27, calls_2[Purchase_Amount])</f>
        <v>7689</v>
      </c>
      <c r="H27" t="str">
        <v>R04</v>
      </c>
      <c r="I27" s="17">
        <f>AVERAGEIFS(calls_2[Call_Duration],calls_2[Representative],H27)</f>
        <v>95.701086956521735</v>
      </c>
    </row>
    <row r="28" spans="1:10" x14ac:dyDescent="0.25">
      <c r="A28" t="str">
        <v>R05</v>
      </c>
      <c r="B28" s="18">
        <f>SUMIF(calls_2[Representative],A28,calls_2[Purchase_Amount])</f>
        <v>20104</v>
      </c>
      <c r="D28" t="str">
        <v>C0005</v>
      </c>
      <c r="E28" s="18">
        <f>SUMIF(calls_2[Customer_ID], D28, calls_2[Purchase_Amount])</f>
        <v>7747</v>
      </c>
      <c r="H28" t="str">
        <v>R05</v>
      </c>
      <c r="I28" s="17">
        <f>AVERAGEIFS(calls_2[Call_Duration],calls_2[Representative],H28)</f>
        <v>91.045000000000002</v>
      </c>
    </row>
    <row r="29" spans="1:10" x14ac:dyDescent="0.25">
      <c r="D29" t="str">
        <v>C0006</v>
      </c>
      <c r="E29" s="18">
        <f>SUMIF(calls_2[Customer_ID], D29, calls_2[Purchase_Amount])</f>
        <v>6122</v>
      </c>
    </row>
    <row r="30" spans="1:10" x14ac:dyDescent="0.25">
      <c r="D30" t="str">
        <v>C0007</v>
      </c>
      <c r="E30" s="18">
        <f>SUMIF(calls_2[Customer_ID], D30, calls_2[Purchase_Amount])</f>
        <v>7216</v>
      </c>
    </row>
    <row r="31" spans="1:10" x14ac:dyDescent="0.25">
      <c r="D31" t="str">
        <v>C0008</v>
      </c>
      <c r="E31" s="18">
        <f>SUMIF(calls_2[Customer_ID], D31, calls_2[Purchase_Amount])</f>
        <v>4972</v>
      </c>
    </row>
    <row r="32" spans="1:10" x14ac:dyDescent="0.25">
      <c r="D32" t="str">
        <v>C0009</v>
      </c>
      <c r="E32" s="18">
        <f>SUMIF(calls_2[Customer_ID], D32, calls_2[Purchase_Amount])</f>
        <v>6569</v>
      </c>
    </row>
    <row r="33" spans="1:8" x14ac:dyDescent="0.25">
      <c r="D33" t="str">
        <v>C0010</v>
      </c>
      <c r="E33" s="18">
        <f>SUMIF(calls_2[Customer_ID], D33, calls_2[Purchase_Amount])</f>
        <v>6242</v>
      </c>
    </row>
    <row r="34" spans="1:8" x14ac:dyDescent="0.25">
      <c r="D34" t="str">
        <v>C0011</v>
      </c>
      <c r="E34" s="18">
        <f>SUMIF(calls_2[Customer_ID], D34, calls_2[Purchase_Amount])</f>
        <v>6749</v>
      </c>
    </row>
    <row r="35" spans="1:8" x14ac:dyDescent="0.25">
      <c r="D35" t="str">
        <v>C0012</v>
      </c>
      <c r="E35" s="18">
        <f>SUMIF(calls_2[Customer_ID], D35, calls_2[Purchase_Amount])</f>
        <v>6819</v>
      </c>
    </row>
    <row r="36" spans="1:8" x14ac:dyDescent="0.25">
      <c r="D36" t="str">
        <v>C0013</v>
      </c>
      <c r="E36" s="18">
        <f>SUMIF(calls_2[Customer_ID], D36, calls_2[Purchase_Amount])</f>
        <v>7230</v>
      </c>
    </row>
    <row r="37" spans="1:8" x14ac:dyDescent="0.25">
      <c r="D37" t="str">
        <v>C0014</v>
      </c>
      <c r="E37" s="18">
        <f>SUMIF(calls_2[Customer_ID], D37, calls_2[Purchase_Amount])</f>
        <v>5404</v>
      </c>
    </row>
    <row r="38" spans="1:8" x14ac:dyDescent="0.25">
      <c r="D38" t="str">
        <v>C0015</v>
      </c>
      <c r="E38" s="18">
        <f>SUMIF(calls_2[Customer_ID], D38, calls_2[Purchase_Amount])</f>
        <v>6518</v>
      </c>
    </row>
    <row r="41" spans="1:8" x14ac:dyDescent="0.25">
      <c r="A41" s="13" t="s">
        <v>1118</v>
      </c>
      <c r="B41" s="12"/>
    </row>
    <row r="42" spans="1:8" x14ac:dyDescent="0.25">
      <c r="A42" s="21" t="s">
        <v>1063</v>
      </c>
      <c r="B42" s="21"/>
      <c r="C42" s="21"/>
      <c r="E42" s="21" t="s">
        <v>1114</v>
      </c>
      <c r="F42" s="21"/>
      <c r="G42" s="21"/>
      <c r="H42" s="21"/>
    </row>
    <row r="43" spans="1:8" x14ac:dyDescent="0.25">
      <c r="A43" s="23" t="s">
        <v>1111</v>
      </c>
      <c r="B43" s="22" t="s">
        <v>1112</v>
      </c>
      <c r="C43" s="22" t="s">
        <v>1113</v>
      </c>
      <c r="E43" s="22" t="s">
        <v>1095</v>
      </c>
      <c r="F43" s="22" t="s">
        <v>1115</v>
      </c>
    </row>
    <row r="44" spans="1:8" x14ac:dyDescent="0.25">
      <c r="A44" t="str" cm="1">
        <f t="array" ref="A44:A58">_xlfn._xlws.SORT(_xlfn.UNIQUE(calls_2[Customer_ID]))</f>
        <v>C0001</v>
      </c>
      <c r="B44" s="17">
        <f>AVERAGEIF(calls_2[Customer_ID],A44,calls_2[Satisfaction_Rating])</f>
        <v>3.8307692307692309</v>
      </c>
      <c r="C44" t="str" cm="1">
        <f t="array" ref="C44">_xlfn.IFS(B44&gt;=4.5, "Excellent",AND(B44 &gt;=4,B44&lt;=4.49), "Good", AND(B44 &gt;=3,B44&lt;=3.99), "Average", TRUE, "Poor")</f>
        <v>Average</v>
      </c>
      <c r="E44" t="str" cm="1">
        <f t="array" ref="E44:E58">_xlfn._xlws.SORT(_xlfn.UNIQUE(calls_2[Customer_ID]))</f>
        <v>C0001</v>
      </c>
      <c r="F44" s="18">
        <f t="shared" ref="F44:F58" si="1">_xlfn.XLOOKUP(E44,A5,C5,"not found",0)</f>
        <v>6785</v>
      </c>
    </row>
    <row r="45" spans="1:8" x14ac:dyDescent="0.25">
      <c r="A45" t="str">
        <v>C0002</v>
      </c>
      <c r="B45" s="17">
        <f>AVERAGEIF(calls_2[Customer_ID],A45,calls_2[Satisfaction_Rating])</f>
        <v>4.0730158730158736</v>
      </c>
      <c r="C45" t="str" cm="1">
        <f t="array" ref="C45">_xlfn.IFS(B45&gt;=4.5, "Excellent",AND(B45 &gt;=4,B45&lt;=4.49), "Good", AND(B45 &gt;=3,B45&lt;=3.99), "Average", TRUE, "Poor")</f>
        <v>Good</v>
      </c>
      <c r="E45" t="str">
        <v>C0002</v>
      </c>
      <c r="F45" s="18">
        <f t="shared" si="1"/>
        <v>5634</v>
      </c>
    </row>
    <row r="46" spans="1:8" x14ac:dyDescent="0.25">
      <c r="A46" t="str">
        <v>C0003</v>
      </c>
      <c r="B46" s="17">
        <f>AVERAGEIF(calls_2[Customer_ID],A46,calls_2[Satisfaction_Rating])</f>
        <v>4.0857142857142854</v>
      </c>
      <c r="C46" t="str" cm="1">
        <f t="array" ref="C46">_xlfn.IFS(B46&gt;=4.5, "Excellent",AND(B46 &gt;=4,B46&lt;=4.49), "Good", AND(B46 &gt;=3,B46&lt;=3.99), "Average", TRUE, "Poor")</f>
        <v>Good</v>
      </c>
      <c r="E46" t="str">
        <v>C0003</v>
      </c>
      <c r="F46" s="18">
        <f t="shared" si="1"/>
        <v>4758</v>
      </c>
    </row>
    <row r="47" spans="1:8" x14ac:dyDescent="0.25">
      <c r="A47" t="str">
        <v>C0004</v>
      </c>
      <c r="B47" s="17">
        <f>AVERAGEIF(calls_2[Customer_ID],A47,calls_2[Satisfaction_Rating])</f>
        <v>3.976829268292684</v>
      </c>
      <c r="C47" t="str" cm="1">
        <f t="array" ref="C47">_xlfn.IFS(B47&gt;=4.5, "Excellent",AND(B47 &gt;=4,B47&lt;=4.49), "Good", AND(B47 &gt;=3,B47&lt;=3.99), "Average", TRUE, "Poor")</f>
        <v>Average</v>
      </c>
      <c r="E47" t="str">
        <v>C0004</v>
      </c>
      <c r="F47" s="18">
        <f t="shared" si="1"/>
        <v>7689</v>
      </c>
    </row>
    <row r="48" spans="1:8" x14ac:dyDescent="0.25">
      <c r="A48" t="str">
        <v>C0005</v>
      </c>
      <c r="B48" s="17">
        <f>AVERAGEIF(calls_2[Customer_ID],A48,calls_2[Satisfaction_Rating])</f>
        <v>3.9797468354430396</v>
      </c>
      <c r="C48" t="str" cm="1">
        <f t="array" ref="C48">_xlfn.IFS(B48&gt;=4.5, "Excellent",AND(B48 &gt;=4,B48&lt;=4.49), "Good", AND(B48 &gt;=3,B48&lt;=3.99), "Average", TRUE, "Poor")</f>
        <v>Average</v>
      </c>
      <c r="E48" t="str">
        <v>C0005</v>
      </c>
      <c r="F48" s="18">
        <f t="shared" si="1"/>
        <v>7747</v>
      </c>
    </row>
    <row r="49" spans="1:6" x14ac:dyDescent="0.25">
      <c r="A49" t="str">
        <v>C0006</v>
      </c>
      <c r="B49" s="17">
        <f>AVERAGEIF(calls_2[Customer_ID],A49,calls_2[Satisfaction_Rating])</f>
        <v>3.8393442622950813</v>
      </c>
      <c r="C49" t="str" cm="1">
        <f t="array" ref="C49">_xlfn.IFS(B49&gt;=4.5, "Excellent",AND(B49 &gt;=4,B49&lt;=4.49), "Good", AND(B49 &gt;=3,B49&lt;=3.99), "Average", TRUE, "Poor")</f>
        <v>Average</v>
      </c>
      <c r="E49" t="str">
        <v>C0006</v>
      </c>
      <c r="F49" s="18">
        <f t="shared" si="1"/>
        <v>6122</v>
      </c>
    </row>
    <row r="50" spans="1:6" x14ac:dyDescent="0.25">
      <c r="A50" t="str">
        <v>C0007</v>
      </c>
      <c r="B50" s="17">
        <f>AVERAGEIF(calls_2[Customer_ID],A50,calls_2[Satisfaction_Rating])</f>
        <v>3.8522388059701487</v>
      </c>
      <c r="C50" t="str" cm="1">
        <f t="array" ref="C50">_xlfn.IFS(B50&gt;=4.5, "Excellent",AND(B50 &gt;=4,B50&lt;=4.49), "Good", AND(B50 &gt;=3,B50&lt;=3.99), "Average", TRUE, "Poor")</f>
        <v>Average</v>
      </c>
      <c r="E50" t="str">
        <v>C0007</v>
      </c>
      <c r="F50" s="18">
        <f t="shared" si="1"/>
        <v>7216</v>
      </c>
    </row>
    <row r="51" spans="1:6" x14ac:dyDescent="0.25">
      <c r="A51" t="str">
        <v>C0008</v>
      </c>
      <c r="B51" s="17">
        <f>AVERAGEIF(calls_2[Customer_ID],A51,calls_2[Satisfaction_Rating])</f>
        <v>3.9534482758620677</v>
      </c>
      <c r="C51" t="str" cm="1">
        <f t="array" ref="C51">_xlfn.IFS(B51&gt;=4.5, "Excellent",AND(B51 &gt;=4,B51&lt;=4.49), "Good", AND(B51 &gt;=3,B51&lt;=3.99), "Average", TRUE, "Poor")</f>
        <v>Average</v>
      </c>
      <c r="E51" t="str">
        <v>C0008</v>
      </c>
      <c r="F51" s="18">
        <f t="shared" si="1"/>
        <v>4972</v>
      </c>
    </row>
    <row r="52" spans="1:6" x14ac:dyDescent="0.25">
      <c r="A52" t="str">
        <v>C0009</v>
      </c>
      <c r="B52" s="17">
        <f>AVERAGEIF(calls_2[Customer_ID],A52,calls_2[Satisfaction_Rating])</f>
        <v>3.6691176470588243</v>
      </c>
      <c r="C52" t="str" cm="1">
        <f t="array" ref="C52">_xlfn.IFS(B52&gt;=4.5, "Excellent",AND(B52 &gt;=4,B52&lt;=4.49), "Good", AND(B52 &gt;=3,B52&lt;=3.99), "Average", TRUE, "Poor")</f>
        <v>Average</v>
      </c>
      <c r="E52" t="str">
        <v>C0009</v>
      </c>
      <c r="F52" s="18">
        <f t="shared" si="1"/>
        <v>6569</v>
      </c>
    </row>
    <row r="53" spans="1:6" x14ac:dyDescent="0.25">
      <c r="A53" t="str">
        <v>C0010</v>
      </c>
      <c r="B53" s="17">
        <f>AVERAGEIF(calls_2[Customer_ID],A53,calls_2[Satisfaction_Rating])</f>
        <v>3.863888888888888</v>
      </c>
      <c r="C53" t="str" cm="1">
        <f t="array" ref="C53">_xlfn.IFS(B53&gt;=4.5, "Excellent",AND(B53 &gt;=4,B53&lt;=4.49), "Good", AND(B53 &gt;=3,B53&lt;=3.99), "Average", TRUE, "Poor")</f>
        <v>Average</v>
      </c>
      <c r="E53" t="str">
        <v>C0010</v>
      </c>
      <c r="F53" s="18">
        <f t="shared" si="1"/>
        <v>6242</v>
      </c>
    </row>
    <row r="54" spans="1:6" x14ac:dyDescent="0.25">
      <c r="A54" t="str">
        <v>C0011</v>
      </c>
      <c r="B54" s="17">
        <f>AVERAGEIF(calls_2[Customer_ID],A54,calls_2[Satisfaction_Rating])</f>
        <v>3.9837837837837853</v>
      </c>
      <c r="C54" t="str" cm="1">
        <f t="array" ref="C54">_xlfn.IFS(B54&gt;=4.5, "Excellent",AND(B54 &gt;=4,B54&lt;=4.49), "Good", AND(B54 &gt;=3,B54&lt;=3.99), "Average", TRUE, "Poor")</f>
        <v>Average</v>
      </c>
      <c r="E54" t="str">
        <v>C0011</v>
      </c>
      <c r="F54" s="18">
        <f t="shared" si="1"/>
        <v>6749</v>
      </c>
    </row>
    <row r="55" spans="1:6" x14ac:dyDescent="0.25">
      <c r="A55" t="str">
        <v>C0012</v>
      </c>
      <c r="B55" s="17">
        <f>AVERAGEIF(calls_2[Customer_ID],A55,calls_2[Satisfaction_Rating])</f>
        <v>4.1300000000000008</v>
      </c>
      <c r="C55" t="str" cm="1">
        <f t="array" ref="C55">_xlfn.IFS(B55&gt;=4.5, "Excellent",AND(B55 &gt;=4,B55&lt;=4.49), "Good", AND(B55 &gt;=3,B55&lt;=3.99), "Average", TRUE, "Poor")</f>
        <v>Good</v>
      </c>
      <c r="E55" t="str">
        <v>C0012</v>
      </c>
      <c r="F55" s="18">
        <f t="shared" si="1"/>
        <v>6819</v>
      </c>
    </row>
    <row r="56" spans="1:6" x14ac:dyDescent="0.25">
      <c r="A56" t="str">
        <v>C0013</v>
      </c>
      <c r="B56" s="17">
        <f>AVERAGEIF(calls_2[Customer_ID],A56,calls_2[Satisfaction_Rating])</f>
        <v>3.7753623188405814</v>
      </c>
      <c r="C56" t="str" cm="1">
        <f t="array" ref="C56">_xlfn.IFS(B56&gt;=4.5, "Excellent",AND(B56 &gt;=4,B56&lt;=4.49), "Good", AND(B56 &gt;=3,B56&lt;=3.99), "Average", TRUE, "Poor")</f>
        <v>Average</v>
      </c>
      <c r="E56" t="str">
        <v>C0013</v>
      </c>
      <c r="F56" s="18">
        <f t="shared" si="1"/>
        <v>7230</v>
      </c>
    </row>
    <row r="57" spans="1:6" x14ac:dyDescent="0.25">
      <c r="A57" t="str">
        <v>C0014</v>
      </c>
      <c r="B57" s="17">
        <f>AVERAGEIF(calls_2[Customer_ID],A57,calls_2[Satisfaction_Rating])</f>
        <v>3.609999999999999</v>
      </c>
      <c r="C57" t="str" cm="1">
        <f t="array" ref="C57">_xlfn.IFS(B57&gt;=4.5, "Excellent",AND(B57 &gt;=4,B57&lt;=4.49), "Good", AND(B57 &gt;=3,B57&lt;=3.99), "Average", TRUE, "Poor")</f>
        <v>Average</v>
      </c>
      <c r="E57" t="str">
        <v>C0014</v>
      </c>
      <c r="F57" s="18">
        <f t="shared" si="1"/>
        <v>5404</v>
      </c>
    </row>
    <row r="58" spans="1:6" x14ac:dyDescent="0.25">
      <c r="A58" t="str">
        <v>C0015</v>
      </c>
      <c r="B58" s="17">
        <f>AVERAGEIF(calls_2[Customer_ID],A58,calls_2[Satisfaction_Rating])</f>
        <v>3.8389830508474563</v>
      </c>
      <c r="C58" t="str" cm="1">
        <f t="array" ref="C58">_xlfn.IFS(B58&gt;=4.5, "Excellent",AND(B58 &gt;=4,B58&lt;=4.49), "Good", AND(B58 &gt;=3,B58&lt;=3.99), "Average", TRUE, "Poor")</f>
        <v>Average</v>
      </c>
      <c r="E58" t="str">
        <v>C0015</v>
      </c>
      <c r="F58" s="18">
        <f t="shared" si="1"/>
        <v>6518</v>
      </c>
    </row>
    <row r="59" spans="1:6" x14ac:dyDescent="0.25">
      <c r="B59" s="14"/>
    </row>
    <row r="62" spans="1:6" x14ac:dyDescent="0.25">
      <c r="A62" s="21" t="s">
        <v>1117</v>
      </c>
      <c r="B62" s="21"/>
      <c r="C62" s="21"/>
    </row>
    <row r="63" spans="1:6" x14ac:dyDescent="0.25">
      <c r="A63" s="22" t="s">
        <v>3</v>
      </c>
      <c r="B63" s="22" t="s">
        <v>1107</v>
      </c>
      <c r="C63" s="22" t="s">
        <v>1116</v>
      </c>
    </row>
    <row r="64" spans="1:6" x14ac:dyDescent="0.25">
      <c r="A64" t="str" cm="1">
        <f t="array" ref="A64:A68">_xlfn._xlws.SORT(_xlfn.UNIQUE(calls_2[Representative]))</f>
        <v>R01</v>
      </c>
      <c r="B64" s="18">
        <f>SUMIF(calls_2[Representative],A64,calls_2[Purchase_Amount])</f>
        <v>18415</v>
      </c>
      <c r="C64">
        <f>_xlfn.RANK.EQ(B64, $B$64:$B$68,0)</f>
        <v>4</v>
      </c>
    </row>
    <row r="65" spans="1:11" x14ac:dyDescent="0.25">
      <c r="A65" t="str">
        <v>R02</v>
      </c>
      <c r="B65" s="18">
        <f>SUMIF(calls_2[Representative],A65,calls_2[Purchase_Amount])</f>
        <v>20535</v>
      </c>
      <c r="C65">
        <f t="shared" ref="C65:C68" si="2">_xlfn.RANK.EQ(B65, $B$64:$B$68,0)</f>
        <v>2</v>
      </c>
    </row>
    <row r="66" spans="1:11" x14ac:dyDescent="0.25">
      <c r="A66" t="str">
        <v>R03</v>
      </c>
      <c r="B66" s="18">
        <f>SUMIF(calls_2[Representative],A66,calls_2[Purchase_Amount])</f>
        <v>20818</v>
      </c>
      <c r="C66">
        <f t="shared" si="2"/>
        <v>1</v>
      </c>
    </row>
    <row r="67" spans="1:11" x14ac:dyDescent="0.25">
      <c r="A67" t="str">
        <v>R04</v>
      </c>
      <c r="B67" s="18">
        <f>SUMIF(calls_2[Representative],A67,calls_2[Purchase_Amount])</f>
        <v>16582</v>
      </c>
      <c r="C67">
        <f t="shared" si="2"/>
        <v>5</v>
      </c>
    </row>
    <row r="68" spans="1:11" x14ac:dyDescent="0.25">
      <c r="A68" t="str">
        <v>R05</v>
      </c>
      <c r="B68" s="18">
        <f>SUMIF(calls_2[Representative],A68,calls_2[Purchase_Amount])</f>
        <v>20104</v>
      </c>
      <c r="C68">
        <f t="shared" si="2"/>
        <v>3</v>
      </c>
    </row>
    <row r="71" spans="1:11" x14ac:dyDescent="0.25">
      <c r="A71" s="13" t="s">
        <v>1119</v>
      </c>
      <c r="B71" s="12"/>
    </row>
    <row r="73" spans="1:11" x14ac:dyDescent="0.25">
      <c r="A73" s="21" t="s">
        <v>1120</v>
      </c>
      <c r="B73" s="21"/>
      <c r="C73" s="21"/>
      <c r="E73" s="21" t="s">
        <v>1127</v>
      </c>
      <c r="F73" s="21"/>
      <c r="G73" s="21"/>
      <c r="H73" s="21"/>
      <c r="I73" s="21"/>
      <c r="J73" s="21"/>
      <c r="K73" s="21"/>
    </row>
    <row r="74" spans="1:11" x14ac:dyDescent="0.25">
      <c r="A74" s="22" t="s">
        <v>1095</v>
      </c>
      <c r="B74" s="22" t="s">
        <v>1121</v>
      </c>
      <c r="C74" s="22" t="s">
        <v>1122</v>
      </c>
      <c r="E74" s="22" t="s">
        <v>1123</v>
      </c>
      <c r="F74" s="22" t="s">
        <v>1124</v>
      </c>
      <c r="G74" s="22" t="s">
        <v>1107</v>
      </c>
      <c r="H74" s="22" t="s">
        <v>1125</v>
      </c>
      <c r="I74" s="22" t="s">
        <v>1126</v>
      </c>
      <c r="J74" s="22" t="s">
        <v>1128</v>
      </c>
      <c r="K74" s="23"/>
    </row>
    <row r="75" spans="1:11" x14ac:dyDescent="0.25">
      <c r="A75" t="str" cm="1">
        <f t="array" ref="A75:A89">_xlfn._xlws.SORT(_xlfn.UNIQUE(calls_2[Customer_ID]))</f>
        <v>C0001</v>
      </c>
      <c r="B75" s="18">
        <f>SUMIF(calls_2[Customer_ID],A75,calls_2[Purchase_Amount])</f>
        <v>6785</v>
      </c>
      <c r="C75" s="24" cm="1">
        <f t="array" ref="C75:C89">_xlfn._xlws.SORT(B75:B89,,-1)</f>
        <v>7747</v>
      </c>
      <c r="E75" t="str" cm="1">
        <f t="array" ref="E75:E79">_xlfn._xlws.SORT(_xlfn.UNIQUE(calls_2[Representative]))</f>
        <v>R01</v>
      </c>
      <c r="F75" s="25">
        <f>COUNTIF(calls_2[Representative],E75)</f>
        <v>189</v>
      </c>
      <c r="G75" s="18">
        <f>SUMIF(calls_2[Representative],E75,calls_2[Purchase_Amount])</f>
        <v>18415</v>
      </c>
      <c r="H75" s="17">
        <f>AVERAGEIF(calls_2[Representative],E75,calls_2[Satisfaction_Rating])</f>
        <v>3.9227513227513247</v>
      </c>
      <c r="I75">
        <f>_xlfn.RANK.EQ(G75, $G$75:$G$79,0)</f>
        <v>4</v>
      </c>
      <c r="J75" t="str" cm="1">
        <f t="array" ref="J75:K76">_xlfn.LET(
    _xlpm.Rep,_xlfn.ANCHORARRAY(E75),
    _xlpm.AvgSat,AVERAGEIF(calls_2[Representative],_xlpm.Rep,calls_2[Satisfaction_Rating]),
   _xlfn._xlws.FILTER(CHOOSE({1,2},_xlpm.Rep,_xlpm.AvgSat), _xlpm.AvgSat&gt;3.9, "No representatives found")
)</f>
        <v>R01</v>
      </c>
      <c r="K75">
        <v>3.9227513227513247</v>
      </c>
    </row>
    <row r="76" spans="1:11" x14ac:dyDescent="0.25">
      <c r="A76" t="str">
        <v>C0002</v>
      </c>
      <c r="B76" s="18">
        <f>SUMIF(calls_2[Customer_ID],A76,calls_2[Purchase_Amount])</f>
        <v>5634</v>
      </c>
      <c r="C76" s="24">
        <v>7689</v>
      </c>
      <c r="E76" t="str">
        <v>R02</v>
      </c>
      <c r="F76" s="25">
        <f>COUNTIF(calls_2[Representative],E76)</f>
        <v>217</v>
      </c>
      <c r="G76" s="18">
        <f>SUMIF(calls_2[Representative],E76,calls_2[Purchase_Amount])</f>
        <v>20535</v>
      </c>
      <c r="H76" s="17">
        <f>AVERAGEIF(calls_2[Representative],E76,calls_2[Satisfaction_Rating])</f>
        <v>3.8852534562211982</v>
      </c>
      <c r="I76">
        <f t="shared" ref="I76:I79" si="3">_xlfn.RANK.EQ(G76, $G$75:$G$79,0)</f>
        <v>2</v>
      </c>
      <c r="J76" t="str">
        <v>R04</v>
      </c>
      <c r="K76">
        <v>3.930978260869562</v>
      </c>
    </row>
    <row r="77" spans="1:11" x14ac:dyDescent="0.25">
      <c r="A77" t="str">
        <v>C0003</v>
      </c>
      <c r="B77" s="18">
        <f>SUMIF(calls_2[Customer_ID],A77,calls_2[Purchase_Amount])</f>
        <v>4758</v>
      </c>
      <c r="C77" s="24">
        <v>7230</v>
      </c>
      <c r="E77" t="str">
        <v>R03</v>
      </c>
      <c r="F77" s="25">
        <f>COUNTIF(calls_2[Representative],E77)</f>
        <v>206</v>
      </c>
      <c r="G77" s="18">
        <f>SUMIF(calls_2[Representative],E77,calls_2[Purchase_Amount])</f>
        <v>20818</v>
      </c>
      <c r="H77" s="17">
        <f>AVERAGEIF(calls_2[Representative],E77,calls_2[Satisfaction_Rating])</f>
        <v>3.8776699029126189</v>
      </c>
      <c r="I77">
        <f t="shared" si="3"/>
        <v>1</v>
      </c>
    </row>
    <row r="78" spans="1:11" x14ac:dyDescent="0.25">
      <c r="A78" t="str">
        <v>C0004</v>
      </c>
      <c r="B78" s="18">
        <f>SUMIF(calls_2[Customer_ID],A78,calls_2[Purchase_Amount])</f>
        <v>7689</v>
      </c>
      <c r="C78" s="24">
        <v>7216</v>
      </c>
      <c r="E78" t="str">
        <v>R04</v>
      </c>
      <c r="F78" s="25">
        <f>COUNTIF(calls_2[Representative],E78)</f>
        <v>184</v>
      </c>
      <c r="G78" s="18">
        <f>SUMIF(calls_2[Representative],E78,calls_2[Purchase_Amount])</f>
        <v>16582</v>
      </c>
      <c r="H78" s="17">
        <f>AVERAGEIF(calls_2[Representative],E78,calls_2[Satisfaction_Rating])</f>
        <v>3.930978260869562</v>
      </c>
      <c r="I78">
        <f t="shared" si="3"/>
        <v>5</v>
      </c>
    </row>
    <row r="79" spans="1:11" x14ac:dyDescent="0.25">
      <c r="A79" t="str">
        <v>C0005</v>
      </c>
      <c r="B79" s="18">
        <f>SUMIF(calls_2[Customer_ID],A79,calls_2[Purchase_Amount])</f>
        <v>7747</v>
      </c>
      <c r="C79" s="24">
        <v>6819</v>
      </c>
      <c r="E79" t="str">
        <v>R05</v>
      </c>
      <c r="F79" s="25">
        <f>COUNTIF(calls_2[Representative],E79)</f>
        <v>200</v>
      </c>
      <c r="G79" s="18">
        <f>SUMIF(calls_2[Representative],E79,calls_2[Purchase_Amount])</f>
        <v>20104</v>
      </c>
      <c r="H79" s="17">
        <f>AVERAGEIF(calls_2[Representative],E79,calls_2[Satisfaction_Rating])</f>
        <v>3.8824999999999998</v>
      </c>
      <c r="I79">
        <f t="shared" si="3"/>
        <v>3</v>
      </c>
    </row>
    <row r="80" spans="1:11" x14ac:dyDescent="0.25">
      <c r="A80" t="str">
        <v>C0006</v>
      </c>
      <c r="B80" s="18">
        <f>SUMIF(calls_2[Customer_ID],A80,calls_2[Purchase_Amount])</f>
        <v>6122</v>
      </c>
      <c r="C80" s="24">
        <v>6785</v>
      </c>
      <c r="F80" s="18"/>
    </row>
    <row r="81" spans="1:11" x14ac:dyDescent="0.25">
      <c r="A81" t="str">
        <v>C0007</v>
      </c>
      <c r="B81" s="18">
        <f>SUMIF(calls_2[Customer_ID],A81,calls_2[Purchase_Amount])</f>
        <v>7216</v>
      </c>
      <c r="C81" s="24">
        <v>6749</v>
      </c>
    </row>
    <row r="82" spans="1:11" x14ac:dyDescent="0.25">
      <c r="A82" t="str">
        <v>C0008</v>
      </c>
      <c r="B82" s="18">
        <f>SUMIF(calls_2[Customer_ID],A82,calls_2[Purchase_Amount])</f>
        <v>4972</v>
      </c>
      <c r="C82" s="24">
        <v>6569</v>
      </c>
    </row>
    <row r="83" spans="1:11" x14ac:dyDescent="0.25">
      <c r="A83" t="str">
        <v>C0009</v>
      </c>
      <c r="B83" s="18">
        <f>SUMIF(calls_2[Customer_ID],A83,calls_2[Purchase_Amount])</f>
        <v>6569</v>
      </c>
      <c r="C83" s="24">
        <v>6518</v>
      </c>
    </row>
    <row r="84" spans="1:11" x14ac:dyDescent="0.25">
      <c r="A84" t="str">
        <v>C0010</v>
      </c>
      <c r="B84" s="18">
        <f>SUMIF(calls_2[Customer_ID],A84,calls_2[Purchase_Amount])</f>
        <v>6242</v>
      </c>
      <c r="C84" s="24">
        <v>6242</v>
      </c>
    </row>
    <row r="85" spans="1:11" x14ac:dyDescent="0.25">
      <c r="A85" t="str">
        <v>C0011</v>
      </c>
      <c r="B85" s="18">
        <f>SUMIF(calls_2[Customer_ID],A85,calls_2[Purchase_Amount])</f>
        <v>6749</v>
      </c>
      <c r="C85" s="18">
        <v>6122</v>
      </c>
    </row>
    <row r="86" spans="1:11" x14ac:dyDescent="0.25">
      <c r="A86" t="str">
        <v>C0012</v>
      </c>
      <c r="B86" s="18">
        <f>SUMIF(calls_2[Customer_ID],A86,calls_2[Purchase_Amount])</f>
        <v>6819</v>
      </c>
      <c r="C86" s="18">
        <v>5634</v>
      </c>
    </row>
    <row r="87" spans="1:11" x14ac:dyDescent="0.25">
      <c r="A87" t="str">
        <v>C0013</v>
      </c>
      <c r="B87" s="18">
        <f>SUMIF(calls_2[Customer_ID],A87,calls_2[Purchase_Amount])</f>
        <v>7230</v>
      </c>
      <c r="C87" s="18">
        <v>5404</v>
      </c>
    </row>
    <row r="88" spans="1:11" x14ac:dyDescent="0.25">
      <c r="A88" t="str">
        <v>C0014</v>
      </c>
      <c r="B88" s="18">
        <f>SUMIF(calls_2[Customer_ID],A88,calls_2[Purchase_Amount])</f>
        <v>5404</v>
      </c>
      <c r="C88" s="18">
        <v>4972</v>
      </c>
    </row>
    <row r="89" spans="1:11" x14ac:dyDescent="0.25">
      <c r="A89" t="str">
        <v>C0015</v>
      </c>
      <c r="B89" s="18">
        <f>SUMIF(calls_2[Customer_ID],A89,calls_2[Purchase_Amount])</f>
        <v>6518</v>
      </c>
      <c r="C89" s="18">
        <v>4758</v>
      </c>
    </row>
    <row r="93" spans="1:11" x14ac:dyDescent="0.25">
      <c r="A93" s="21" t="s">
        <v>1130</v>
      </c>
      <c r="B93" s="21"/>
      <c r="C93" s="21"/>
      <c r="E93" s="21" t="s">
        <v>1131</v>
      </c>
      <c r="F93" s="21"/>
      <c r="G93" s="21"/>
      <c r="H93" s="21"/>
      <c r="I93" s="21"/>
      <c r="J93" s="21"/>
      <c r="K93" s="21"/>
    </row>
    <row r="94" spans="1:11" x14ac:dyDescent="0.25">
      <c r="A94" s="22" t="s">
        <v>3</v>
      </c>
      <c r="B94" s="22" t="s">
        <v>1107</v>
      </c>
      <c r="C94" s="22" t="s">
        <v>1129</v>
      </c>
      <c r="E94" s="22" t="s">
        <v>1095</v>
      </c>
      <c r="F94" s="22" t="s">
        <v>1096</v>
      </c>
      <c r="G94" s="22" t="s">
        <v>1132</v>
      </c>
      <c r="H94" s="22" t="s">
        <v>1133</v>
      </c>
      <c r="I94" s="22" t="s">
        <v>1134</v>
      </c>
      <c r="J94" s="23"/>
      <c r="K94" s="23"/>
    </row>
    <row r="95" spans="1:11" x14ac:dyDescent="0.25">
      <c r="A95" t="str" cm="1">
        <f t="array" ref="A95:A99">_xlfn._xlws.SORT(_xlfn.UNIQUE(calls_2[Representative]))</f>
        <v>R01</v>
      </c>
      <c r="B95" s="18">
        <f>SUMIF(calls_2[Representative],A95,calls_2[Purchase_Amount])</f>
        <v>18415</v>
      </c>
      <c r="C95" s="26">
        <f>B95/SUM($B$95:$B$99)</f>
        <v>0.19092002405291641</v>
      </c>
      <c r="E95" t="str" cm="1">
        <f t="array" ref="E95:E109">_xlfn._xlws.SORT(_xlfn.UNIQUE(calls_2[Customer_ID]))</f>
        <v>C0001</v>
      </c>
      <c r="F95">
        <f>COUNTIF(calls_2[Customer_ID],E95)</f>
        <v>65</v>
      </c>
      <c r="G95" s="18">
        <f>SUMIF(calls_2[Customer_ID], E95, calls_2[Purchase_Amount])</f>
        <v>6785</v>
      </c>
      <c r="H95" s="15">
        <f>AVERAGE($G$95:$G$109)</f>
        <v>6430.2666666666664</v>
      </c>
      <c r="I95" cm="1">
        <f t="array" ref="I95:K100">_xlfn._xlws.FILTER(F95:H109, (F95:F109&gt;5)*(G95:G109&lt;H95),"None")</f>
        <v>63</v>
      </c>
      <c r="J95" s="18">
        <v>5634</v>
      </c>
      <c r="K95" s="18">
        <v>6430.2666666666664</v>
      </c>
    </row>
    <row r="96" spans="1:11" x14ac:dyDescent="0.25">
      <c r="A96" t="str">
        <v>R02</v>
      </c>
      <c r="B96" s="18">
        <f>SUMIF(calls_2[Representative],A96,calls_2[Purchase_Amount])</f>
        <v>20535</v>
      </c>
      <c r="C96" s="26">
        <f t="shared" ref="C96:C99" si="4">B96/SUM($B$95:$B$99)</f>
        <v>0.21289941319178055</v>
      </c>
      <c r="E96" t="str">
        <v>C0002</v>
      </c>
      <c r="F96">
        <f>COUNTIF(calls_2[Customer_ID],E96)</f>
        <v>63</v>
      </c>
      <c r="G96" s="27">
        <f>SUMIF(calls_2[Customer_ID], E96, calls_2[Purchase_Amount])</f>
        <v>5634</v>
      </c>
      <c r="H96" s="15">
        <f t="shared" ref="H96:H109" si="5">AVERAGE($G$95:$G$109)</f>
        <v>6430.2666666666664</v>
      </c>
      <c r="I96">
        <v>49</v>
      </c>
      <c r="J96" s="18">
        <v>4758</v>
      </c>
      <c r="K96" s="18">
        <v>6430.2666666666664</v>
      </c>
    </row>
    <row r="97" spans="1:11" x14ac:dyDescent="0.25">
      <c r="A97" t="str">
        <v>R03</v>
      </c>
      <c r="B97" s="18">
        <f>SUMIF(calls_2[Representative],A97,calls_2[Purchase_Amount])</f>
        <v>20818</v>
      </c>
      <c r="C97" s="26">
        <f t="shared" si="4"/>
        <v>0.21583345428909118</v>
      </c>
      <c r="E97" t="str">
        <v>C0003</v>
      </c>
      <c r="F97">
        <f>COUNTIF(calls_2[Customer_ID],E97)</f>
        <v>49</v>
      </c>
      <c r="G97" s="28">
        <f>SUMIF(calls_2[Customer_ID], E97, calls_2[Purchase_Amount])</f>
        <v>4758</v>
      </c>
      <c r="H97" s="15">
        <f t="shared" si="5"/>
        <v>6430.2666666666664</v>
      </c>
      <c r="I97">
        <v>61</v>
      </c>
      <c r="J97" s="18">
        <v>6122</v>
      </c>
      <c r="K97" s="18">
        <v>6430.2666666666664</v>
      </c>
    </row>
    <row r="98" spans="1:11" x14ac:dyDescent="0.25">
      <c r="A98" t="str">
        <v>R04</v>
      </c>
      <c r="B98" s="18">
        <f>SUMIF(calls_2[Representative],A98,calls_2[Purchase_Amount])</f>
        <v>16582</v>
      </c>
      <c r="C98" s="26">
        <f t="shared" si="4"/>
        <v>0.17191614655690796</v>
      </c>
      <c r="E98" t="str">
        <v>C0004</v>
      </c>
      <c r="F98">
        <f>COUNTIF(calls_2[Customer_ID],E98)</f>
        <v>82</v>
      </c>
      <c r="G98" s="18">
        <f>SUMIF(calls_2[Customer_ID], E98, calls_2[Purchase_Amount])</f>
        <v>7689</v>
      </c>
      <c r="H98" s="15">
        <f t="shared" si="5"/>
        <v>6430.2666666666664</v>
      </c>
      <c r="I98">
        <v>58</v>
      </c>
      <c r="J98" s="18">
        <v>4972</v>
      </c>
      <c r="K98" s="18">
        <v>6430.2666666666664</v>
      </c>
    </row>
    <row r="99" spans="1:11" x14ac:dyDescent="0.25">
      <c r="A99" t="str">
        <v>R05</v>
      </c>
      <c r="B99" s="18">
        <f>SUMIF(calls_2[Representative],A99,calls_2[Purchase_Amount])</f>
        <v>20104</v>
      </c>
      <c r="C99" s="26">
        <f t="shared" si="4"/>
        <v>0.20843096190930391</v>
      </c>
      <c r="E99" t="str">
        <v>C0005</v>
      </c>
      <c r="F99">
        <f>COUNTIF(calls_2[Customer_ID],E99)</f>
        <v>79</v>
      </c>
      <c r="G99" s="18">
        <f>SUMIF(calls_2[Customer_ID], E99, calls_2[Purchase_Amount])</f>
        <v>7747</v>
      </c>
      <c r="H99" s="15">
        <f t="shared" si="5"/>
        <v>6430.2666666666664</v>
      </c>
      <c r="I99">
        <v>72</v>
      </c>
      <c r="J99" s="18">
        <v>6242</v>
      </c>
      <c r="K99" s="18">
        <v>6430.2666666666664</v>
      </c>
    </row>
    <row r="100" spans="1:11" x14ac:dyDescent="0.25">
      <c r="E100" t="str">
        <v>C0006</v>
      </c>
      <c r="F100">
        <f>COUNTIF(calls_2[Customer_ID],E100)</f>
        <v>61</v>
      </c>
      <c r="G100" s="27">
        <f>SUMIF(calls_2[Customer_ID], E100, calls_2[Purchase_Amount])</f>
        <v>6122</v>
      </c>
      <c r="H100" s="15">
        <f t="shared" si="5"/>
        <v>6430.2666666666664</v>
      </c>
      <c r="I100">
        <v>60</v>
      </c>
      <c r="J100" s="18">
        <v>5404</v>
      </c>
      <c r="K100" s="18">
        <v>6430.2666666666664</v>
      </c>
    </row>
    <row r="101" spans="1:11" x14ac:dyDescent="0.25">
      <c r="E101" t="str">
        <v>C0007</v>
      </c>
      <c r="F101">
        <f>COUNTIF(calls_2[Customer_ID],E101)</f>
        <v>67</v>
      </c>
      <c r="G101" s="18">
        <f>SUMIF(calls_2[Customer_ID], E101, calls_2[Purchase_Amount])</f>
        <v>7216</v>
      </c>
      <c r="H101" s="15">
        <f t="shared" si="5"/>
        <v>6430.2666666666664</v>
      </c>
    </row>
    <row r="102" spans="1:11" x14ac:dyDescent="0.25">
      <c r="E102" t="str">
        <v>C0008</v>
      </c>
      <c r="F102">
        <f>COUNTIF(calls_2[Customer_ID],E102)</f>
        <v>58</v>
      </c>
      <c r="G102" s="27">
        <f>SUMIF(calls_2[Customer_ID], E102, calls_2[Purchase_Amount])</f>
        <v>4972</v>
      </c>
      <c r="H102" s="15">
        <f t="shared" si="5"/>
        <v>6430.2666666666664</v>
      </c>
    </row>
    <row r="103" spans="1:11" x14ac:dyDescent="0.25">
      <c r="E103" t="str">
        <v>C0009</v>
      </c>
      <c r="F103">
        <f>COUNTIF(calls_2[Customer_ID],E103)</f>
        <v>68</v>
      </c>
      <c r="G103" s="18">
        <f>SUMIF(calls_2[Customer_ID], E103, calls_2[Purchase_Amount])</f>
        <v>6569</v>
      </c>
      <c r="H103" s="15">
        <f t="shared" si="5"/>
        <v>6430.2666666666664</v>
      </c>
    </row>
    <row r="104" spans="1:11" x14ac:dyDescent="0.25">
      <c r="E104" t="str">
        <v>C0010</v>
      </c>
      <c r="F104">
        <f>COUNTIF(calls_2[Customer_ID],E104)</f>
        <v>72</v>
      </c>
      <c r="G104" s="27">
        <f>SUMIF(calls_2[Customer_ID], E104, calls_2[Purchase_Amount])</f>
        <v>6242</v>
      </c>
      <c r="H104" s="15">
        <f t="shared" si="5"/>
        <v>6430.2666666666664</v>
      </c>
    </row>
    <row r="105" spans="1:11" x14ac:dyDescent="0.25">
      <c r="E105" t="str">
        <v>C0011</v>
      </c>
      <c r="F105">
        <f>COUNTIF(calls_2[Customer_ID],E105)</f>
        <v>74</v>
      </c>
      <c r="G105" s="18">
        <f>SUMIF(calls_2[Customer_ID], E105, calls_2[Purchase_Amount])</f>
        <v>6749</v>
      </c>
      <c r="H105" s="15">
        <f t="shared" si="5"/>
        <v>6430.2666666666664</v>
      </c>
    </row>
    <row r="106" spans="1:11" x14ac:dyDescent="0.25">
      <c r="E106" t="str">
        <v>C0012</v>
      </c>
      <c r="F106">
        <f>COUNTIF(calls_2[Customer_ID],E106)</f>
        <v>70</v>
      </c>
      <c r="G106" s="18">
        <f>SUMIF(calls_2[Customer_ID], E106, calls_2[Purchase_Amount])</f>
        <v>6819</v>
      </c>
      <c r="H106" s="15">
        <f t="shared" si="5"/>
        <v>6430.2666666666664</v>
      </c>
    </row>
    <row r="107" spans="1:11" x14ac:dyDescent="0.25">
      <c r="E107" t="str">
        <v>C0013</v>
      </c>
      <c r="F107">
        <f>COUNTIF(calls_2[Customer_ID],E107)</f>
        <v>69</v>
      </c>
      <c r="G107" s="18">
        <f>SUMIF(calls_2[Customer_ID], E107, calls_2[Purchase_Amount])</f>
        <v>7230</v>
      </c>
      <c r="H107" s="15">
        <f t="shared" si="5"/>
        <v>6430.2666666666664</v>
      </c>
    </row>
    <row r="108" spans="1:11" x14ac:dyDescent="0.25">
      <c r="E108" t="str">
        <v>C0014</v>
      </c>
      <c r="F108">
        <f>COUNTIF(calls_2[Customer_ID],E108)</f>
        <v>60</v>
      </c>
      <c r="G108" s="27">
        <f>SUMIF(calls_2[Customer_ID], E108, calls_2[Purchase_Amount])</f>
        <v>5404</v>
      </c>
      <c r="H108" s="15">
        <f t="shared" si="5"/>
        <v>6430.2666666666664</v>
      </c>
    </row>
    <row r="109" spans="1:11" x14ac:dyDescent="0.25">
      <c r="E109" t="str">
        <v>C0015</v>
      </c>
      <c r="F109">
        <f>COUNTIF(calls_2[Customer_ID],E109)</f>
        <v>59</v>
      </c>
      <c r="G109" s="18">
        <f>SUMIF(calls_2[Customer_ID], E109, calls_2[Purchase_Amount])</f>
        <v>6518</v>
      </c>
      <c r="H109" s="15">
        <f t="shared" si="5"/>
        <v>6430.2666666666664</v>
      </c>
    </row>
    <row r="113" spans="1:2" x14ac:dyDescent="0.25">
      <c r="A113" s="21" t="s">
        <v>1135</v>
      </c>
      <c r="B113" s="21"/>
    </row>
    <row r="114" spans="1:2" x14ac:dyDescent="0.25">
      <c r="A114" s="29" t="s">
        <v>3</v>
      </c>
      <c r="B114" t="s">
        <v>10</v>
      </c>
    </row>
    <row r="115" spans="1:2" x14ac:dyDescent="0.25">
      <c r="A115" s="22" t="s">
        <v>1139</v>
      </c>
      <c r="B115" s="22" t="s">
        <v>1136</v>
      </c>
    </row>
    <row r="116" spans="1:2" x14ac:dyDescent="0.25">
      <c r="A116" s="29" t="s">
        <v>1107</v>
      </c>
      <c r="B116" s="18">
        <f xml:space="preserve"> SUMIF(calls_2[Representative],B114,calls_2[Purchase_Amount])</f>
        <v>20104</v>
      </c>
    </row>
    <row r="117" spans="1:2" x14ac:dyDescent="0.25">
      <c r="A117" s="29" t="s">
        <v>1096</v>
      </c>
      <c r="B117">
        <f>COUNTIF(calls_2[Representative],B114)</f>
        <v>200</v>
      </c>
    </row>
    <row r="118" spans="1:2" x14ac:dyDescent="0.25">
      <c r="A118" s="29" t="s">
        <v>1137</v>
      </c>
      <c r="B118" s="17">
        <f>AVERAGEIF(calls_2[Representative],B114,calls_2[Satisfaction_Rating])</f>
        <v>3.8824999999999998</v>
      </c>
    </row>
    <row r="119" spans="1:2" x14ac:dyDescent="0.25">
      <c r="A119" s="29" t="s">
        <v>1138</v>
      </c>
      <c r="B119" s="17">
        <f>AVERAGEIFS(calls_2[Call_Duration],calls_2[Representative],B114)</f>
        <v>91.045000000000002</v>
      </c>
    </row>
  </sheetData>
  <conditionalFormatting sqref="C75:C84">
    <cfRule type="expression" priority="1">
      <formula>"TOP 10"</formula>
    </cfRule>
  </conditionalFormatting>
  <dataValidations count="1">
    <dataValidation type="list" allowBlank="1" showInputMessage="1" showErrorMessage="1" sqref="B114" xr:uid="{2F45FBEC-60D6-4D8B-B54F-CB84149BB4AD}">
      <formula1>$A$95:$A$99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ED5E-3C19-4140-8CEB-011D70292055}">
  <dimension ref="A2:N167"/>
  <sheetViews>
    <sheetView topLeftCell="A58" workbookViewId="0">
      <selection activeCell="Y77" sqref="Y77"/>
    </sheetView>
  </sheetViews>
  <sheetFormatPr defaultRowHeight="15" x14ac:dyDescent="0.25"/>
  <cols>
    <col min="1" max="1" width="12.625" bestFit="1" customWidth="1"/>
    <col min="2" max="2" width="24.375" bestFit="1" customWidth="1"/>
    <col min="3" max="3" width="8.75" customWidth="1"/>
    <col min="4" max="4" width="4.125" bestFit="1" customWidth="1"/>
    <col min="5" max="5" width="3.875" bestFit="1" customWidth="1"/>
    <col min="6" max="6" width="4.25" bestFit="1" customWidth="1"/>
    <col min="7" max="7" width="3.875" bestFit="1" customWidth="1"/>
    <col min="8" max="8" width="3.25" bestFit="1" customWidth="1"/>
    <col min="9" max="10" width="4.125" bestFit="1" customWidth="1"/>
    <col min="11" max="11" width="3.875" bestFit="1" customWidth="1"/>
    <col min="12" max="13" width="4.25" bestFit="1" customWidth="1"/>
    <col min="14" max="14" width="10.875" bestFit="1" customWidth="1"/>
  </cols>
  <sheetData>
    <row r="2" spans="1:2" x14ac:dyDescent="0.25">
      <c r="A2" s="13" t="s">
        <v>1062</v>
      </c>
      <c r="B2" s="12"/>
    </row>
    <row r="3" spans="1:2" x14ac:dyDescent="0.25">
      <c r="A3" s="9" t="s">
        <v>1058</v>
      </c>
      <c r="B3" t="s">
        <v>1061</v>
      </c>
    </row>
    <row r="4" spans="1:2" x14ac:dyDescent="0.25">
      <c r="A4" s="10" t="s">
        <v>17</v>
      </c>
      <c r="B4">
        <v>65</v>
      </c>
    </row>
    <row r="5" spans="1:2" x14ac:dyDescent="0.25">
      <c r="A5" s="10" t="s">
        <v>24</v>
      </c>
      <c r="B5">
        <v>63</v>
      </c>
    </row>
    <row r="6" spans="1:2" x14ac:dyDescent="0.25">
      <c r="A6" s="10" t="s">
        <v>20</v>
      </c>
      <c r="B6">
        <v>49</v>
      </c>
    </row>
    <row r="7" spans="1:2" x14ac:dyDescent="0.25">
      <c r="A7" s="10" t="s">
        <v>12</v>
      </c>
      <c r="B7">
        <v>82</v>
      </c>
    </row>
    <row r="8" spans="1:2" x14ac:dyDescent="0.25">
      <c r="A8" s="10" t="s">
        <v>23</v>
      </c>
      <c r="B8">
        <v>79</v>
      </c>
    </row>
    <row r="9" spans="1:2" x14ac:dyDescent="0.25">
      <c r="A9" s="10" t="s">
        <v>7</v>
      </c>
      <c r="B9">
        <v>61</v>
      </c>
    </row>
    <row r="10" spans="1:2" x14ac:dyDescent="0.25">
      <c r="A10" s="10" t="s">
        <v>15</v>
      </c>
      <c r="B10">
        <v>67</v>
      </c>
    </row>
    <row r="11" spans="1:2" x14ac:dyDescent="0.25">
      <c r="A11" s="10" t="s">
        <v>5</v>
      </c>
      <c r="B11">
        <v>58</v>
      </c>
    </row>
    <row r="12" spans="1:2" x14ac:dyDescent="0.25">
      <c r="A12" s="10" t="s">
        <v>22</v>
      </c>
      <c r="B12">
        <v>67</v>
      </c>
    </row>
    <row r="13" spans="1:2" x14ac:dyDescent="0.25">
      <c r="A13" s="10" t="s">
        <v>18</v>
      </c>
      <c r="B13">
        <v>72</v>
      </c>
    </row>
    <row r="14" spans="1:2" x14ac:dyDescent="0.25">
      <c r="A14" s="10" t="s">
        <v>8</v>
      </c>
      <c r="B14">
        <v>74</v>
      </c>
    </row>
    <row r="15" spans="1:2" x14ac:dyDescent="0.25">
      <c r="A15" s="10" t="s">
        <v>16</v>
      </c>
      <c r="B15">
        <v>70</v>
      </c>
    </row>
    <row r="16" spans="1:2" x14ac:dyDescent="0.25">
      <c r="A16" s="10" t="s">
        <v>14</v>
      </c>
      <c r="B16">
        <v>69</v>
      </c>
    </row>
    <row r="17" spans="1:3" x14ac:dyDescent="0.25">
      <c r="A17" s="10" t="s">
        <v>21</v>
      </c>
      <c r="B17">
        <v>60</v>
      </c>
    </row>
    <row r="18" spans="1:3" x14ac:dyDescent="0.25">
      <c r="A18" s="10" t="s">
        <v>19</v>
      </c>
      <c r="B18">
        <v>59</v>
      </c>
    </row>
    <row r="19" spans="1:3" x14ac:dyDescent="0.25">
      <c r="A19" s="10" t="s">
        <v>1059</v>
      </c>
      <c r="B19">
        <v>995</v>
      </c>
    </row>
    <row r="23" spans="1:3" x14ac:dyDescent="0.25">
      <c r="A23" s="13" t="s">
        <v>1063</v>
      </c>
      <c r="B23" s="12"/>
      <c r="C23" s="12"/>
    </row>
    <row r="24" spans="1:3" x14ac:dyDescent="0.25">
      <c r="A24" s="9" t="s">
        <v>1058</v>
      </c>
      <c r="B24" t="s">
        <v>1061</v>
      </c>
      <c r="C24" t="s">
        <v>1064</v>
      </c>
    </row>
    <row r="25" spans="1:3" x14ac:dyDescent="0.25">
      <c r="A25" s="10" t="s">
        <v>17</v>
      </c>
      <c r="B25">
        <v>65</v>
      </c>
      <c r="C25" s="14">
        <v>3.8307692307692309</v>
      </c>
    </row>
    <row r="26" spans="1:3" x14ac:dyDescent="0.25">
      <c r="A26" s="10" t="s">
        <v>24</v>
      </c>
      <c r="B26">
        <v>63</v>
      </c>
      <c r="C26" s="14">
        <v>4.0730158730158736</v>
      </c>
    </row>
    <row r="27" spans="1:3" x14ac:dyDescent="0.25">
      <c r="A27" s="10" t="s">
        <v>20</v>
      </c>
      <c r="B27">
        <v>49</v>
      </c>
      <c r="C27" s="14">
        <v>4.0857142857142854</v>
      </c>
    </row>
    <row r="28" spans="1:3" x14ac:dyDescent="0.25">
      <c r="A28" s="10" t="s">
        <v>12</v>
      </c>
      <c r="B28">
        <v>82</v>
      </c>
      <c r="C28" s="14">
        <v>3.976829268292684</v>
      </c>
    </row>
    <row r="29" spans="1:3" x14ac:dyDescent="0.25">
      <c r="A29" s="10" t="s">
        <v>23</v>
      </c>
      <c r="B29">
        <v>79</v>
      </c>
      <c r="C29" s="14">
        <v>3.9797468354430396</v>
      </c>
    </row>
    <row r="30" spans="1:3" x14ac:dyDescent="0.25">
      <c r="A30" s="10" t="s">
        <v>7</v>
      </c>
      <c r="B30">
        <v>61</v>
      </c>
      <c r="C30" s="14">
        <v>3.8393442622950813</v>
      </c>
    </row>
    <row r="31" spans="1:3" x14ac:dyDescent="0.25">
      <c r="A31" s="10" t="s">
        <v>15</v>
      </c>
      <c r="B31">
        <v>67</v>
      </c>
      <c r="C31" s="14">
        <v>3.8522388059701487</v>
      </c>
    </row>
    <row r="32" spans="1:3" x14ac:dyDescent="0.25">
      <c r="A32" s="10" t="s">
        <v>5</v>
      </c>
      <c r="B32">
        <v>58</v>
      </c>
      <c r="C32" s="14">
        <v>3.9534482758620677</v>
      </c>
    </row>
    <row r="33" spans="1:3" x14ac:dyDescent="0.25">
      <c r="A33" s="10" t="s">
        <v>22</v>
      </c>
      <c r="B33">
        <v>67</v>
      </c>
      <c r="C33" s="14">
        <v>3.6656716417910453</v>
      </c>
    </row>
    <row r="34" spans="1:3" x14ac:dyDescent="0.25">
      <c r="A34" s="10" t="s">
        <v>18</v>
      </c>
      <c r="B34">
        <v>72</v>
      </c>
      <c r="C34" s="14">
        <v>3.863888888888888</v>
      </c>
    </row>
    <row r="35" spans="1:3" x14ac:dyDescent="0.25">
      <c r="A35" s="10" t="s">
        <v>8</v>
      </c>
      <c r="B35">
        <v>74</v>
      </c>
      <c r="C35" s="14">
        <v>3.9837837837837853</v>
      </c>
    </row>
    <row r="36" spans="1:3" x14ac:dyDescent="0.25">
      <c r="A36" s="10" t="s">
        <v>16</v>
      </c>
      <c r="B36">
        <v>70</v>
      </c>
      <c r="C36" s="14">
        <v>4.1300000000000008</v>
      </c>
    </row>
    <row r="37" spans="1:3" x14ac:dyDescent="0.25">
      <c r="A37" s="10" t="s">
        <v>14</v>
      </c>
      <c r="B37">
        <v>69</v>
      </c>
      <c r="C37" s="14">
        <v>3.7753623188405814</v>
      </c>
    </row>
    <row r="38" spans="1:3" x14ac:dyDescent="0.25">
      <c r="A38" s="10" t="s">
        <v>21</v>
      </c>
      <c r="B38">
        <v>60</v>
      </c>
      <c r="C38" s="14">
        <v>3.609999999999999</v>
      </c>
    </row>
    <row r="39" spans="1:3" x14ac:dyDescent="0.25">
      <c r="A39" s="10" t="s">
        <v>19</v>
      </c>
      <c r="B39">
        <v>59</v>
      </c>
      <c r="C39" s="14">
        <v>3.8389830508474563</v>
      </c>
    </row>
    <row r="40" spans="1:3" x14ac:dyDescent="0.25">
      <c r="A40" s="10" t="s">
        <v>1059</v>
      </c>
      <c r="B40">
        <v>995</v>
      </c>
      <c r="C40" s="14">
        <v>3.898693467336686</v>
      </c>
    </row>
    <row r="44" spans="1:3" x14ac:dyDescent="0.25">
      <c r="A44" s="13" t="s">
        <v>1065</v>
      </c>
      <c r="B44" s="12"/>
    </row>
    <row r="45" spans="1:3" x14ac:dyDescent="0.25">
      <c r="A45" s="9" t="s">
        <v>1058</v>
      </c>
      <c r="B45" s="15" t="s">
        <v>1060</v>
      </c>
    </row>
    <row r="46" spans="1:3" x14ac:dyDescent="0.25">
      <c r="A46" s="10" t="s">
        <v>23</v>
      </c>
      <c r="B46" s="15">
        <v>7747</v>
      </c>
    </row>
    <row r="47" spans="1:3" x14ac:dyDescent="0.25">
      <c r="A47" s="10" t="s">
        <v>12</v>
      </c>
      <c r="B47" s="15">
        <v>7689</v>
      </c>
    </row>
    <row r="48" spans="1:3" x14ac:dyDescent="0.25">
      <c r="A48" s="10" t="s">
        <v>14</v>
      </c>
      <c r="B48" s="15">
        <v>7230</v>
      </c>
    </row>
    <row r="49" spans="1:2" x14ac:dyDescent="0.25">
      <c r="A49" s="10" t="s">
        <v>15</v>
      </c>
      <c r="B49" s="15">
        <v>7216</v>
      </c>
    </row>
    <row r="50" spans="1:2" x14ac:dyDescent="0.25">
      <c r="A50" s="10" t="s">
        <v>16</v>
      </c>
      <c r="B50" s="15">
        <v>6819</v>
      </c>
    </row>
    <row r="51" spans="1:2" x14ac:dyDescent="0.25">
      <c r="A51" s="10" t="s">
        <v>17</v>
      </c>
      <c r="B51" s="15">
        <v>6785</v>
      </c>
    </row>
    <row r="52" spans="1:2" x14ac:dyDescent="0.25">
      <c r="A52" s="10" t="s">
        <v>8</v>
      </c>
      <c r="B52" s="15">
        <v>6749</v>
      </c>
    </row>
    <row r="53" spans="1:2" x14ac:dyDescent="0.25">
      <c r="A53" s="10" t="s">
        <v>22</v>
      </c>
      <c r="B53" s="15">
        <v>6529</v>
      </c>
    </row>
    <row r="54" spans="1:2" x14ac:dyDescent="0.25">
      <c r="A54" s="10" t="s">
        <v>19</v>
      </c>
      <c r="B54" s="15">
        <v>6518</v>
      </c>
    </row>
    <row r="55" spans="1:2" x14ac:dyDescent="0.25">
      <c r="A55" s="10" t="s">
        <v>18</v>
      </c>
      <c r="B55" s="15">
        <v>6242</v>
      </c>
    </row>
    <row r="56" spans="1:2" x14ac:dyDescent="0.25">
      <c r="A56" s="10" t="s">
        <v>1059</v>
      </c>
      <c r="B56" s="15">
        <v>69524</v>
      </c>
    </row>
    <row r="60" spans="1:2" x14ac:dyDescent="0.25">
      <c r="A60" s="13" t="s">
        <v>1066</v>
      </c>
      <c r="B60" s="12"/>
    </row>
    <row r="61" spans="1:2" x14ac:dyDescent="0.25">
      <c r="A61" s="9" t="s">
        <v>1058</v>
      </c>
      <c r="B61" s="15" t="s">
        <v>1060</v>
      </c>
    </row>
    <row r="62" spans="1:2" x14ac:dyDescent="0.25">
      <c r="A62" s="10" t="s">
        <v>23</v>
      </c>
      <c r="B62" s="15">
        <v>7747</v>
      </c>
    </row>
    <row r="63" spans="1:2" x14ac:dyDescent="0.25">
      <c r="A63" s="10" t="s">
        <v>12</v>
      </c>
      <c r="B63" s="15">
        <v>7689</v>
      </c>
    </row>
    <row r="64" spans="1:2" x14ac:dyDescent="0.25">
      <c r="A64" s="10" t="s">
        <v>14</v>
      </c>
      <c r="B64" s="15">
        <v>7230</v>
      </c>
    </row>
    <row r="65" spans="1:2" x14ac:dyDescent="0.25">
      <c r="A65" s="10" t="s">
        <v>15</v>
      </c>
      <c r="B65" s="15">
        <v>7216</v>
      </c>
    </row>
    <row r="66" spans="1:2" x14ac:dyDescent="0.25">
      <c r="A66" s="10" t="s">
        <v>16</v>
      </c>
      <c r="B66" s="15">
        <v>6819</v>
      </c>
    </row>
    <row r="67" spans="1:2" x14ac:dyDescent="0.25">
      <c r="A67" s="10" t="s">
        <v>17</v>
      </c>
      <c r="B67" s="15">
        <v>6785</v>
      </c>
    </row>
    <row r="68" spans="1:2" x14ac:dyDescent="0.25">
      <c r="A68" s="10" t="s">
        <v>8</v>
      </c>
      <c r="B68" s="15">
        <v>6749</v>
      </c>
    </row>
    <row r="69" spans="1:2" x14ac:dyDescent="0.25">
      <c r="A69" s="10" t="s">
        <v>22</v>
      </c>
      <c r="B69" s="15">
        <v>6529</v>
      </c>
    </row>
    <row r="70" spans="1:2" x14ac:dyDescent="0.25">
      <c r="A70" s="10" t="s">
        <v>19</v>
      </c>
      <c r="B70" s="15">
        <v>6518</v>
      </c>
    </row>
    <row r="71" spans="1:2" x14ac:dyDescent="0.25">
      <c r="A71" s="10" t="s">
        <v>18</v>
      </c>
      <c r="B71" s="15">
        <v>6242</v>
      </c>
    </row>
    <row r="72" spans="1:2" x14ac:dyDescent="0.25">
      <c r="A72" s="10" t="s">
        <v>1059</v>
      </c>
      <c r="B72" s="15">
        <v>69524</v>
      </c>
    </row>
    <row r="76" spans="1:2" x14ac:dyDescent="0.25">
      <c r="A76" s="13" t="s">
        <v>1067</v>
      </c>
      <c r="B76" s="12"/>
    </row>
    <row r="77" spans="1:2" x14ac:dyDescent="0.25">
      <c r="A77" s="9" t="s">
        <v>1058</v>
      </c>
      <c r="B77" t="s">
        <v>1061</v>
      </c>
    </row>
    <row r="78" spans="1:2" x14ac:dyDescent="0.25">
      <c r="A78" s="10" t="s">
        <v>1039</v>
      </c>
      <c r="B78">
        <v>21</v>
      </c>
    </row>
    <row r="79" spans="1:2" x14ac:dyDescent="0.25">
      <c r="A79" s="10" t="s">
        <v>1047</v>
      </c>
      <c r="B79">
        <v>18</v>
      </c>
    </row>
    <row r="80" spans="1:2" x14ac:dyDescent="0.25">
      <c r="A80" s="10" t="s">
        <v>1048</v>
      </c>
      <c r="B80">
        <v>31</v>
      </c>
    </row>
    <row r="81" spans="1:2" x14ac:dyDescent="0.25">
      <c r="A81" s="10" t="s">
        <v>1049</v>
      </c>
      <c r="B81">
        <v>20</v>
      </c>
    </row>
    <row r="82" spans="1:2" x14ac:dyDescent="0.25">
      <c r="A82" s="10" t="s">
        <v>1050</v>
      </c>
      <c r="B82">
        <v>8</v>
      </c>
    </row>
    <row r="83" spans="1:2" x14ac:dyDescent="0.25">
      <c r="A83" s="10" t="s">
        <v>1051</v>
      </c>
      <c r="B83">
        <v>12</v>
      </c>
    </row>
    <row r="84" spans="1:2" x14ac:dyDescent="0.25">
      <c r="A84" s="10" t="s">
        <v>1052</v>
      </c>
      <c r="B84">
        <v>12</v>
      </c>
    </row>
    <row r="85" spans="1:2" x14ac:dyDescent="0.25">
      <c r="A85" s="10" t="s">
        <v>1053</v>
      </c>
      <c r="B85">
        <v>7</v>
      </c>
    </row>
    <row r="86" spans="1:2" x14ac:dyDescent="0.25">
      <c r="A86" s="10" t="s">
        <v>1054</v>
      </c>
      <c r="B86">
        <v>20</v>
      </c>
    </row>
    <row r="87" spans="1:2" x14ac:dyDescent="0.25">
      <c r="A87" s="10" t="s">
        <v>1055</v>
      </c>
      <c r="B87">
        <v>24</v>
      </c>
    </row>
    <row r="88" spans="1:2" x14ac:dyDescent="0.25">
      <c r="A88" s="10" t="s">
        <v>1056</v>
      </c>
      <c r="B88">
        <v>12</v>
      </c>
    </row>
    <row r="89" spans="1:2" x14ac:dyDescent="0.25">
      <c r="A89" s="10" t="s">
        <v>1057</v>
      </c>
      <c r="B89">
        <v>15</v>
      </c>
    </row>
    <row r="90" spans="1:2" x14ac:dyDescent="0.25">
      <c r="A90" s="10" t="s">
        <v>1059</v>
      </c>
      <c r="B90">
        <v>200</v>
      </c>
    </row>
    <row r="94" spans="1:2" x14ac:dyDescent="0.25">
      <c r="A94" s="13" t="s">
        <v>1069</v>
      </c>
      <c r="B94" s="12"/>
    </row>
    <row r="95" spans="1:2" x14ac:dyDescent="0.25">
      <c r="A95" s="9" t="s">
        <v>1058</v>
      </c>
      <c r="B95" t="s">
        <v>1060</v>
      </c>
    </row>
    <row r="96" spans="1:2" x14ac:dyDescent="0.25">
      <c r="A96" s="10">
        <v>2023</v>
      </c>
    </row>
    <row r="97" spans="1:2" x14ac:dyDescent="0.25">
      <c r="A97" s="11" t="s">
        <v>1039</v>
      </c>
      <c r="B97">
        <v>1889</v>
      </c>
    </row>
    <row r="98" spans="1:2" x14ac:dyDescent="0.25">
      <c r="A98" s="11" t="s">
        <v>1047</v>
      </c>
      <c r="B98">
        <v>3900</v>
      </c>
    </row>
    <row r="99" spans="1:2" x14ac:dyDescent="0.25">
      <c r="A99" s="11" t="s">
        <v>1048</v>
      </c>
      <c r="B99">
        <v>6940</v>
      </c>
    </row>
    <row r="100" spans="1:2" x14ac:dyDescent="0.25">
      <c r="A100" s="11" t="s">
        <v>1049</v>
      </c>
      <c r="B100">
        <v>9242</v>
      </c>
    </row>
    <row r="101" spans="1:2" x14ac:dyDescent="0.25">
      <c r="A101" s="11" t="s">
        <v>1050</v>
      </c>
      <c r="B101">
        <v>10049</v>
      </c>
    </row>
    <row r="102" spans="1:2" x14ac:dyDescent="0.25">
      <c r="A102" s="11" t="s">
        <v>1051</v>
      </c>
      <c r="B102">
        <v>11080</v>
      </c>
    </row>
    <row r="103" spans="1:2" x14ac:dyDescent="0.25">
      <c r="A103" s="10">
        <v>2024</v>
      </c>
    </row>
    <row r="104" spans="1:2" x14ac:dyDescent="0.25">
      <c r="A104" s="11" t="s">
        <v>1052</v>
      </c>
      <c r="B104">
        <v>1033</v>
      </c>
    </row>
    <row r="105" spans="1:2" x14ac:dyDescent="0.25">
      <c r="A105" s="11" t="s">
        <v>1053</v>
      </c>
      <c r="B105">
        <v>1848</v>
      </c>
    </row>
    <row r="106" spans="1:2" x14ac:dyDescent="0.25">
      <c r="A106" s="11" t="s">
        <v>1054</v>
      </c>
      <c r="B106">
        <v>3660</v>
      </c>
    </row>
    <row r="107" spans="1:2" x14ac:dyDescent="0.25">
      <c r="A107" s="11" t="s">
        <v>1055</v>
      </c>
      <c r="B107">
        <v>5697</v>
      </c>
    </row>
    <row r="108" spans="1:2" x14ac:dyDescent="0.25">
      <c r="A108" s="11" t="s">
        <v>1056</v>
      </c>
      <c r="B108">
        <v>7582</v>
      </c>
    </row>
    <row r="109" spans="1:2" x14ac:dyDescent="0.25">
      <c r="A109" s="11" t="s">
        <v>1057</v>
      </c>
      <c r="B109">
        <v>9024</v>
      </c>
    </row>
    <row r="110" spans="1:2" x14ac:dyDescent="0.25">
      <c r="A110" s="10" t="s">
        <v>1059</v>
      </c>
    </row>
    <row r="114" spans="1:12" x14ac:dyDescent="0.25">
      <c r="A114" s="13" t="s">
        <v>1070</v>
      </c>
      <c r="B114" s="12"/>
      <c r="D114" s="13" t="s">
        <v>1072</v>
      </c>
      <c r="E114" s="12"/>
      <c r="F114" s="12"/>
      <c r="G114" s="12"/>
      <c r="H114" s="12"/>
      <c r="I114" s="12"/>
      <c r="J114" s="12"/>
      <c r="K114" s="12"/>
      <c r="L114" s="12"/>
    </row>
    <row r="115" spans="1:12" x14ac:dyDescent="0.25">
      <c r="A115" s="9" t="s">
        <v>1058</v>
      </c>
      <c r="B115" t="s">
        <v>1071</v>
      </c>
      <c r="D115" s="9" t="s">
        <v>1071</v>
      </c>
      <c r="E115" s="9" t="s">
        <v>1073</v>
      </c>
    </row>
    <row r="116" spans="1:12" x14ac:dyDescent="0.25">
      <c r="A116" s="10" t="s">
        <v>1040</v>
      </c>
      <c r="B116">
        <v>145</v>
      </c>
      <c r="D116" s="9" t="s">
        <v>1058</v>
      </c>
      <c r="E116" t="s">
        <v>1040</v>
      </c>
      <c r="F116" t="s">
        <v>1041</v>
      </c>
      <c r="G116" t="s">
        <v>1042</v>
      </c>
      <c r="H116" t="s">
        <v>1043</v>
      </c>
      <c r="I116" t="s">
        <v>1044</v>
      </c>
      <c r="J116" t="s">
        <v>1045</v>
      </c>
      <c r="K116" t="s">
        <v>1046</v>
      </c>
      <c r="L116" t="s">
        <v>1059</v>
      </c>
    </row>
    <row r="117" spans="1:12" x14ac:dyDescent="0.25">
      <c r="A117" s="10" t="s">
        <v>1041</v>
      </c>
      <c r="B117">
        <v>132</v>
      </c>
      <c r="D117" s="10" t="s">
        <v>11</v>
      </c>
      <c r="E117" s="16">
        <v>0.18617021276595744</v>
      </c>
      <c r="F117" s="16">
        <v>0.15957446808510639</v>
      </c>
      <c r="G117" s="16">
        <v>6.9148936170212769E-2</v>
      </c>
      <c r="H117" s="16">
        <v>0.12234042553191489</v>
      </c>
      <c r="I117" s="16">
        <v>0.12234042553191489</v>
      </c>
      <c r="J117" s="16">
        <v>0.1276595744680851</v>
      </c>
      <c r="K117" s="16">
        <v>0.21276595744680851</v>
      </c>
      <c r="L117" s="16">
        <v>1</v>
      </c>
    </row>
    <row r="118" spans="1:12" x14ac:dyDescent="0.25">
      <c r="A118" s="10" t="s">
        <v>1042</v>
      </c>
      <c r="B118">
        <v>137</v>
      </c>
      <c r="D118" s="10" t="s">
        <v>9</v>
      </c>
      <c r="E118" s="16">
        <v>0.12903225806451613</v>
      </c>
      <c r="F118" s="16">
        <v>0.11059907834101383</v>
      </c>
      <c r="G118" s="16">
        <v>0.20276497695852536</v>
      </c>
      <c r="H118" s="16">
        <v>0.16129032258064516</v>
      </c>
      <c r="I118" s="16">
        <v>0.15207373271889402</v>
      </c>
      <c r="J118" s="16">
        <v>0.13364055299539171</v>
      </c>
      <c r="K118" s="16">
        <v>0.11059907834101383</v>
      </c>
      <c r="L118" s="16">
        <v>1</v>
      </c>
    </row>
    <row r="119" spans="1:12" x14ac:dyDescent="0.25">
      <c r="A119" s="10" t="s">
        <v>1043</v>
      </c>
      <c r="B119">
        <v>152</v>
      </c>
      <c r="D119" s="10" t="s">
        <v>6</v>
      </c>
      <c r="E119" s="16">
        <v>0.14563106796116504</v>
      </c>
      <c r="F119" s="16">
        <v>0.1650485436893204</v>
      </c>
      <c r="G119" s="16">
        <v>0.12621359223300971</v>
      </c>
      <c r="H119" s="16">
        <v>0.18446601941747573</v>
      </c>
      <c r="I119" s="16">
        <v>0.13106796116504854</v>
      </c>
      <c r="J119" s="16">
        <v>0.12621359223300971</v>
      </c>
      <c r="K119" s="16">
        <v>0.12135922330097088</v>
      </c>
      <c r="L119" s="16">
        <v>1</v>
      </c>
    </row>
    <row r="120" spans="1:12" x14ac:dyDescent="0.25">
      <c r="A120" s="10" t="s">
        <v>1044</v>
      </c>
      <c r="B120">
        <v>128</v>
      </c>
      <c r="D120" s="10" t="s">
        <v>13</v>
      </c>
      <c r="E120" s="16">
        <v>0.1358695652173913</v>
      </c>
      <c r="F120" s="16">
        <v>0.11956521739130435</v>
      </c>
      <c r="G120" s="16">
        <v>0.14673913043478262</v>
      </c>
      <c r="H120" s="16">
        <v>0.15760869565217392</v>
      </c>
      <c r="I120" s="16">
        <v>9.7826086956521743E-2</v>
      </c>
      <c r="J120" s="16">
        <v>0.15760869565217392</v>
      </c>
      <c r="K120" s="16">
        <v>0.18478260869565216</v>
      </c>
      <c r="L120" s="16">
        <v>1</v>
      </c>
    </row>
    <row r="121" spans="1:12" x14ac:dyDescent="0.25">
      <c r="A121" s="10" t="s">
        <v>1045</v>
      </c>
      <c r="B121">
        <v>140</v>
      </c>
      <c r="D121" s="10" t="s">
        <v>10</v>
      </c>
      <c r="E121" s="16">
        <v>0.13500000000000001</v>
      </c>
      <c r="F121" s="16">
        <v>0.11</v>
      </c>
      <c r="G121" s="16">
        <v>0.13500000000000001</v>
      </c>
      <c r="H121" s="16">
        <v>0.13500000000000001</v>
      </c>
      <c r="I121" s="16">
        <v>0.13500000000000001</v>
      </c>
      <c r="J121" s="16">
        <v>0.16</v>
      </c>
      <c r="K121" s="16">
        <v>0.19</v>
      </c>
      <c r="L121" s="16">
        <v>1</v>
      </c>
    </row>
    <row r="122" spans="1:12" x14ac:dyDescent="0.25">
      <c r="A122" s="10" t="s">
        <v>1046</v>
      </c>
      <c r="B122">
        <v>161</v>
      </c>
      <c r="D122" s="10" t="s">
        <v>1059</v>
      </c>
      <c r="E122" s="16">
        <v>0.14572864321608039</v>
      </c>
      <c r="F122" s="16">
        <v>0.13266331658291458</v>
      </c>
      <c r="G122" s="16">
        <v>0.13768844221105528</v>
      </c>
      <c r="H122" s="16">
        <v>0.1527638190954774</v>
      </c>
      <c r="I122" s="16">
        <v>0.12864321608040202</v>
      </c>
      <c r="J122" s="16">
        <v>0.1407035175879397</v>
      </c>
      <c r="K122" s="16">
        <v>0.16180904522613065</v>
      </c>
      <c r="L122" s="16">
        <v>1</v>
      </c>
    </row>
    <row r="123" spans="1:12" x14ac:dyDescent="0.25">
      <c r="A123" s="10" t="s">
        <v>1059</v>
      </c>
      <c r="B123">
        <v>995</v>
      </c>
    </row>
    <row r="127" spans="1:12" x14ac:dyDescent="0.25">
      <c r="A127" s="13" t="s">
        <v>1081</v>
      </c>
      <c r="B127" s="12"/>
      <c r="C127" s="12"/>
      <c r="D127" s="12"/>
      <c r="E127" s="12"/>
      <c r="F127" s="12"/>
      <c r="G127" s="12"/>
    </row>
    <row r="128" spans="1:12" x14ac:dyDescent="0.25">
      <c r="A128" s="9" t="s">
        <v>1061</v>
      </c>
      <c r="B128" s="9" t="s">
        <v>1073</v>
      </c>
    </row>
    <row r="129" spans="1:14" x14ac:dyDescent="0.25">
      <c r="A129" s="9" t="s">
        <v>1058</v>
      </c>
      <c r="B129">
        <v>1</v>
      </c>
      <c r="C129">
        <v>2</v>
      </c>
      <c r="D129">
        <v>3</v>
      </c>
      <c r="E129">
        <v>4</v>
      </c>
      <c r="F129">
        <v>5</v>
      </c>
      <c r="G129" t="s">
        <v>1059</v>
      </c>
    </row>
    <row r="130" spans="1:14" x14ac:dyDescent="0.25">
      <c r="A130" s="10" t="s">
        <v>1078</v>
      </c>
      <c r="B130" s="16">
        <v>0</v>
      </c>
      <c r="C130" s="16">
        <v>0</v>
      </c>
      <c r="D130" s="16">
        <v>0.22222222222222221</v>
      </c>
      <c r="E130" s="16">
        <v>0.55555555555555558</v>
      </c>
      <c r="F130" s="16">
        <v>0.22222222222222221</v>
      </c>
      <c r="G130" s="16">
        <v>1</v>
      </c>
    </row>
    <row r="131" spans="1:14" x14ac:dyDescent="0.25">
      <c r="A131" s="10" t="s">
        <v>1077</v>
      </c>
      <c r="B131" s="16">
        <v>0</v>
      </c>
      <c r="C131" s="16">
        <v>7.8431372549019607E-2</v>
      </c>
      <c r="D131" s="16">
        <v>0.11764705882352941</v>
      </c>
      <c r="E131" s="16">
        <v>0.5490196078431373</v>
      </c>
      <c r="F131" s="16">
        <v>0.25490196078431371</v>
      </c>
      <c r="G131" s="16">
        <v>1</v>
      </c>
    </row>
    <row r="132" spans="1:14" x14ac:dyDescent="0.25">
      <c r="A132" s="10" t="s">
        <v>1076</v>
      </c>
      <c r="B132" s="16">
        <v>0</v>
      </c>
      <c r="C132" s="16">
        <v>7.2625698324022353E-2</v>
      </c>
      <c r="D132" s="16">
        <v>0.19553072625698323</v>
      </c>
      <c r="E132" s="16">
        <v>0.4972067039106145</v>
      </c>
      <c r="F132" s="16">
        <v>0.23463687150837989</v>
      </c>
      <c r="G132" s="16">
        <v>1</v>
      </c>
    </row>
    <row r="133" spans="1:14" x14ac:dyDescent="0.25">
      <c r="A133" s="10" t="s">
        <v>1074</v>
      </c>
      <c r="B133" s="16">
        <v>5.7581573896353169E-3</v>
      </c>
      <c r="C133" s="16">
        <v>6.1420345489443376E-2</v>
      </c>
      <c r="D133" s="16">
        <v>0.19577735124760076</v>
      </c>
      <c r="E133" s="16">
        <v>0.4894433781190019</v>
      </c>
      <c r="F133" s="16">
        <v>0.24760076775431861</v>
      </c>
      <c r="G133" s="16">
        <v>1</v>
      </c>
    </row>
    <row r="134" spans="1:14" x14ac:dyDescent="0.25">
      <c r="A134" s="10" t="s">
        <v>1075</v>
      </c>
      <c r="B134" s="16">
        <v>8.5106382978723406E-3</v>
      </c>
      <c r="C134" s="16">
        <v>7.2340425531914887E-2</v>
      </c>
      <c r="D134" s="16">
        <v>0.19148936170212766</v>
      </c>
      <c r="E134" s="16">
        <v>0.46382978723404256</v>
      </c>
      <c r="F134" s="16">
        <v>0.26382978723404255</v>
      </c>
      <c r="G134" s="16">
        <v>1</v>
      </c>
    </row>
    <row r="135" spans="1:14" x14ac:dyDescent="0.25">
      <c r="A135" s="10" t="s">
        <v>1059</v>
      </c>
      <c r="B135" s="16">
        <v>5.0251256281407036E-3</v>
      </c>
      <c r="C135" s="16">
        <v>6.6331658291457291E-2</v>
      </c>
      <c r="D135" s="16">
        <v>0.19095477386934673</v>
      </c>
      <c r="E135" s="16">
        <v>0.48844221105527641</v>
      </c>
      <c r="F135" s="16">
        <v>0.2492462311557789</v>
      </c>
      <c r="G135" s="16">
        <v>1</v>
      </c>
    </row>
    <row r="138" spans="1:14" x14ac:dyDescent="0.25">
      <c r="A138" s="13" t="s">
        <v>1093</v>
      </c>
      <c r="B138" s="12"/>
      <c r="C138" s="12"/>
      <c r="D138" s="12"/>
      <c r="E138" s="12"/>
      <c r="F138" s="12"/>
      <c r="G138" s="12"/>
      <c r="H138" s="12"/>
      <c r="I138" s="12"/>
      <c r="J138" s="12"/>
      <c r="K138" s="12"/>
      <c r="L138" s="12"/>
      <c r="M138" s="12"/>
      <c r="N138" s="12"/>
    </row>
    <row r="139" spans="1:14" x14ac:dyDescent="0.25">
      <c r="A139" s="9" t="s">
        <v>1061</v>
      </c>
      <c r="B139" s="9" t="s">
        <v>1073</v>
      </c>
    </row>
    <row r="140" spans="1:14" x14ac:dyDescent="0.25">
      <c r="A140" s="9" t="s">
        <v>1058</v>
      </c>
      <c r="B140" t="s">
        <v>1082</v>
      </c>
      <c r="C140" t="s">
        <v>1083</v>
      </c>
      <c r="D140" t="s">
        <v>1084</v>
      </c>
      <c r="E140" t="s">
        <v>1085</v>
      </c>
      <c r="F140" t="s">
        <v>1050</v>
      </c>
      <c r="G140" t="s">
        <v>1086</v>
      </c>
      <c r="H140" t="s">
        <v>1087</v>
      </c>
      <c r="I140" t="s">
        <v>1088</v>
      </c>
      <c r="J140" t="s">
        <v>1089</v>
      </c>
      <c r="K140" t="s">
        <v>1090</v>
      </c>
      <c r="L140" t="s">
        <v>1091</v>
      </c>
      <c r="M140" t="s">
        <v>1092</v>
      </c>
      <c r="N140" t="s">
        <v>1059</v>
      </c>
    </row>
    <row r="141" spans="1:14" x14ac:dyDescent="0.25">
      <c r="A141" s="10" t="s">
        <v>11</v>
      </c>
      <c r="B141">
        <v>16</v>
      </c>
      <c r="C141">
        <v>14</v>
      </c>
      <c r="D141">
        <v>26</v>
      </c>
      <c r="E141">
        <v>29</v>
      </c>
      <c r="F141">
        <v>17</v>
      </c>
      <c r="G141">
        <v>15</v>
      </c>
      <c r="H141">
        <v>15</v>
      </c>
      <c r="I141">
        <v>7</v>
      </c>
      <c r="J141">
        <v>11</v>
      </c>
      <c r="K141">
        <v>24</v>
      </c>
      <c r="L141">
        <v>9</v>
      </c>
      <c r="M141">
        <v>5</v>
      </c>
      <c r="N141">
        <v>188</v>
      </c>
    </row>
    <row r="142" spans="1:14" x14ac:dyDescent="0.25">
      <c r="A142" s="10" t="s">
        <v>9</v>
      </c>
      <c r="B142">
        <v>19</v>
      </c>
      <c r="C142">
        <v>10</v>
      </c>
      <c r="D142">
        <v>40</v>
      </c>
      <c r="E142">
        <v>40</v>
      </c>
      <c r="F142">
        <v>12</v>
      </c>
      <c r="G142">
        <v>12</v>
      </c>
      <c r="H142">
        <v>9</v>
      </c>
      <c r="I142">
        <v>13</v>
      </c>
      <c r="J142">
        <v>18</v>
      </c>
      <c r="K142">
        <v>21</v>
      </c>
      <c r="L142">
        <v>14</v>
      </c>
      <c r="M142">
        <v>9</v>
      </c>
      <c r="N142">
        <v>217</v>
      </c>
    </row>
    <row r="143" spans="1:14" x14ac:dyDescent="0.25">
      <c r="A143" s="10" t="s">
        <v>6</v>
      </c>
      <c r="B143">
        <v>12</v>
      </c>
      <c r="C143">
        <v>13</v>
      </c>
      <c r="D143">
        <v>28</v>
      </c>
      <c r="E143">
        <v>24</v>
      </c>
      <c r="F143">
        <v>23</v>
      </c>
      <c r="G143">
        <v>17</v>
      </c>
      <c r="H143">
        <v>11</v>
      </c>
      <c r="I143">
        <v>11</v>
      </c>
      <c r="J143">
        <v>14</v>
      </c>
      <c r="K143">
        <v>30</v>
      </c>
      <c r="L143">
        <v>14</v>
      </c>
      <c r="M143">
        <v>9</v>
      </c>
      <c r="N143">
        <v>206</v>
      </c>
    </row>
    <row r="144" spans="1:14" x14ac:dyDescent="0.25">
      <c r="A144" s="10" t="s">
        <v>13</v>
      </c>
      <c r="B144">
        <v>10</v>
      </c>
      <c r="C144">
        <v>11</v>
      </c>
      <c r="D144">
        <v>29</v>
      </c>
      <c r="E144">
        <v>23</v>
      </c>
      <c r="F144">
        <v>22</v>
      </c>
      <c r="G144">
        <v>10</v>
      </c>
      <c r="H144">
        <v>17</v>
      </c>
      <c r="I144">
        <v>12</v>
      </c>
      <c r="J144">
        <v>13</v>
      </c>
      <c r="K144">
        <v>15</v>
      </c>
      <c r="L144">
        <v>8</v>
      </c>
      <c r="M144">
        <v>14</v>
      </c>
      <c r="N144">
        <v>184</v>
      </c>
    </row>
    <row r="145" spans="1:14" x14ac:dyDescent="0.25">
      <c r="A145" s="10" t="s">
        <v>10</v>
      </c>
      <c r="B145">
        <v>21</v>
      </c>
      <c r="C145">
        <v>18</v>
      </c>
      <c r="D145">
        <v>31</v>
      </c>
      <c r="E145">
        <v>20</v>
      </c>
      <c r="F145">
        <v>8</v>
      </c>
      <c r="G145">
        <v>12</v>
      </c>
      <c r="H145">
        <v>12</v>
      </c>
      <c r="I145">
        <v>7</v>
      </c>
      <c r="J145">
        <v>20</v>
      </c>
      <c r="K145">
        <v>24</v>
      </c>
      <c r="L145">
        <v>12</v>
      </c>
      <c r="M145">
        <v>15</v>
      </c>
      <c r="N145">
        <v>200</v>
      </c>
    </row>
    <row r="146" spans="1:14" x14ac:dyDescent="0.25">
      <c r="A146" s="10" t="s">
        <v>1059</v>
      </c>
      <c r="B146">
        <v>78</v>
      </c>
      <c r="C146">
        <v>66</v>
      </c>
      <c r="D146">
        <v>154</v>
      </c>
      <c r="E146">
        <v>136</v>
      </c>
      <c r="F146">
        <v>82</v>
      </c>
      <c r="G146">
        <v>66</v>
      </c>
      <c r="H146">
        <v>64</v>
      </c>
      <c r="I146">
        <v>50</v>
      </c>
      <c r="J146">
        <v>76</v>
      </c>
      <c r="K146">
        <v>114</v>
      </c>
      <c r="L146">
        <v>57</v>
      </c>
      <c r="M146">
        <v>52</v>
      </c>
      <c r="N146">
        <v>995</v>
      </c>
    </row>
    <row r="150" spans="1:14" x14ac:dyDescent="0.25">
      <c r="A150" s="13" t="s">
        <v>1094</v>
      </c>
      <c r="B150" s="12"/>
      <c r="C150" s="12"/>
      <c r="F150" s="13" t="s">
        <v>1100</v>
      </c>
      <c r="G150" s="12"/>
      <c r="H150" s="12"/>
      <c r="I150" s="12"/>
    </row>
    <row r="151" spans="1:14" x14ac:dyDescent="0.25">
      <c r="A151" s="9" t="s">
        <v>1058</v>
      </c>
      <c r="B151" t="s">
        <v>1060</v>
      </c>
      <c r="C151" t="s">
        <v>1061</v>
      </c>
      <c r="F151" s="20" t="s">
        <v>1095</v>
      </c>
      <c r="G151" s="20" t="s">
        <v>1096</v>
      </c>
      <c r="H151" s="20" t="s">
        <v>1098</v>
      </c>
      <c r="I151" s="20" t="s">
        <v>1099</v>
      </c>
    </row>
    <row r="152" spans="1:14" x14ac:dyDescent="0.25">
      <c r="A152" s="10" t="s">
        <v>12</v>
      </c>
      <c r="B152" s="15">
        <v>7689</v>
      </c>
      <c r="C152">
        <v>82</v>
      </c>
      <c r="F152" t="str">
        <f>A152</f>
        <v>C0004</v>
      </c>
      <c r="G152" s="19">
        <f>GETPIVOTDATA("Count of Call_Number",$A$151,"Customer_ID",A152)</f>
        <v>82</v>
      </c>
      <c r="H152" s="18">
        <f>GETPIVOTDATA("Sum of Purchase_Amount",$A$151,"Customer_ID",A152)</f>
        <v>7689</v>
      </c>
      <c r="I152" s="15">
        <f>B152/C152</f>
        <v>93.768292682926827</v>
      </c>
    </row>
    <row r="153" spans="1:14" x14ac:dyDescent="0.25">
      <c r="A153" s="10" t="s">
        <v>23</v>
      </c>
      <c r="B153" s="15">
        <v>7747</v>
      </c>
      <c r="C153">
        <v>79</v>
      </c>
      <c r="F153" t="str">
        <f t="shared" ref="F153:F166" si="0">A153</f>
        <v>C0005</v>
      </c>
      <c r="G153" s="19">
        <f t="shared" ref="G153:G166" si="1">GETPIVOTDATA("Count of Call_Number",$A$151,"Customer_ID",A153)</f>
        <v>79</v>
      </c>
      <c r="H153" s="18">
        <f t="shared" ref="H153:H166" si="2">GETPIVOTDATA("Sum of Purchase_Amount",$A$151,"Customer_ID",A153)</f>
        <v>7747</v>
      </c>
      <c r="I153" s="15">
        <f t="shared" ref="I153:I166" si="3">B153/C153</f>
        <v>98.063291139240505</v>
      </c>
    </row>
    <row r="154" spans="1:14" x14ac:dyDescent="0.25">
      <c r="A154" s="10" t="s">
        <v>8</v>
      </c>
      <c r="B154" s="15">
        <v>6749</v>
      </c>
      <c r="C154">
        <v>74</v>
      </c>
      <c r="F154" t="str">
        <f t="shared" si="0"/>
        <v>C0011</v>
      </c>
      <c r="G154" s="19">
        <f t="shared" si="1"/>
        <v>74</v>
      </c>
      <c r="H154" s="18">
        <f t="shared" si="2"/>
        <v>6749</v>
      </c>
      <c r="I154" s="15">
        <f t="shared" si="3"/>
        <v>91.202702702702709</v>
      </c>
    </row>
    <row r="155" spans="1:14" x14ac:dyDescent="0.25">
      <c r="A155" s="10" t="s">
        <v>18</v>
      </c>
      <c r="B155" s="15">
        <v>6242</v>
      </c>
      <c r="C155">
        <v>72</v>
      </c>
      <c r="F155" t="str">
        <f t="shared" si="0"/>
        <v>C0010</v>
      </c>
      <c r="G155" s="19">
        <f t="shared" si="1"/>
        <v>72</v>
      </c>
      <c r="H155" s="18">
        <f t="shared" si="2"/>
        <v>6242</v>
      </c>
      <c r="I155" s="15">
        <f t="shared" si="3"/>
        <v>86.694444444444443</v>
      </c>
    </row>
    <row r="156" spans="1:14" x14ac:dyDescent="0.25">
      <c r="A156" s="10" t="s">
        <v>16</v>
      </c>
      <c r="B156" s="15">
        <v>6819</v>
      </c>
      <c r="C156">
        <v>70</v>
      </c>
      <c r="F156" t="str">
        <f t="shared" si="0"/>
        <v>C0012</v>
      </c>
      <c r="G156" s="19">
        <f t="shared" si="1"/>
        <v>70</v>
      </c>
      <c r="H156" s="18">
        <f t="shared" si="2"/>
        <v>6819</v>
      </c>
      <c r="I156" s="15">
        <f t="shared" si="3"/>
        <v>97.414285714285711</v>
      </c>
    </row>
    <row r="157" spans="1:14" x14ac:dyDescent="0.25">
      <c r="A157" s="10" t="s">
        <v>14</v>
      </c>
      <c r="B157" s="15">
        <v>7230</v>
      </c>
      <c r="C157">
        <v>69</v>
      </c>
      <c r="F157" t="str">
        <f t="shared" si="0"/>
        <v>C0013</v>
      </c>
      <c r="G157" s="19">
        <f t="shared" si="1"/>
        <v>69</v>
      </c>
      <c r="H157" s="18">
        <f t="shared" si="2"/>
        <v>7230</v>
      </c>
      <c r="I157" s="15">
        <f t="shared" si="3"/>
        <v>104.78260869565217</v>
      </c>
    </row>
    <row r="158" spans="1:14" x14ac:dyDescent="0.25">
      <c r="A158" s="10" t="s">
        <v>22</v>
      </c>
      <c r="B158" s="15">
        <v>6529</v>
      </c>
      <c r="C158">
        <v>67</v>
      </c>
      <c r="F158" t="str">
        <f t="shared" si="0"/>
        <v>C0009</v>
      </c>
      <c r="G158" s="19">
        <f t="shared" si="1"/>
        <v>67</v>
      </c>
      <c r="H158" s="18">
        <f t="shared" si="2"/>
        <v>6529</v>
      </c>
      <c r="I158" s="15">
        <f t="shared" si="3"/>
        <v>97.447761194029852</v>
      </c>
    </row>
    <row r="159" spans="1:14" x14ac:dyDescent="0.25">
      <c r="A159" s="10" t="s">
        <v>15</v>
      </c>
      <c r="B159" s="15">
        <v>7216</v>
      </c>
      <c r="C159">
        <v>67</v>
      </c>
      <c r="F159" t="str">
        <f t="shared" si="0"/>
        <v>C0007</v>
      </c>
      <c r="G159" s="19">
        <f t="shared" si="1"/>
        <v>67</v>
      </c>
      <c r="H159" s="18">
        <f t="shared" si="2"/>
        <v>7216</v>
      </c>
      <c r="I159" s="15">
        <f t="shared" si="3"/>
        <v>107.70149253731343</v>
      </c>
    </row>
    <row r="160" spans="1:14" x14ac:dyDescent="0.25">
      <c r="A160" s="10" t="s">
        <v>17</v>
      </c>
      <c r="B160" s="15">
        <v>6785</v>
      </c>
      <c r="C160">
        <v>65</v>
      </c>
      <c r="F160" t="str">
        <f t="shared" si="0"/>
        <v>C0001</v>
      </c>
      <c r="G160" s="19">
        <f t="shared" si="1"/>
        <v>65</v>
      </c>
      <c r="H160" s="18">
        <f t="shared" si="2"/>
        <v>6785</v>
      </c>
      <c r="I160" s="15">
        <f t="shared" si="3"/>
        <v>104.38461538461539</v>
      </c>
    </row>
    <row r="161" spans="1:9" x14ac:dyDescent="0.25">
      <c r="A161" s="10" t="s">
        <v>24</v>
      </c>
      <c r="B161" s="15">
        <v>5634</v>
      </c>
      <c r="C161">
        <v>63</v>
      </c>
      <c r="F161" t="str">
        <f t="shared" si="0"/>
        <v>C0002</v>
      </c>
      <c r="G161" s="19">
        <f t="shared" si="1"/>
        <v>63</v>
      </c>
      <c r="H161" s="18">
        <f t="shared" si="2"/>
        <v>5634</v>
      </c>
      <c r="I161" s="15">
        <f t="shared" si="3"/>
        <v>89.428571428571431</v>
      </c>
    </row>
    <row r="162" spans="1:9" x14ac:dyDescent="0.25">
      <c r="A162" s="10" t="s">
        <v>7</v>
      </c>
      <c r="B162" s="15">
        <v>6122</v>
      </c>
      <c r="C162">
        <v>61</v>
      </c>
      <c r="F162" t="str">
        <f t="shared" si="0"/>
        <v>C0006</v>
      </c>
      <c r="G162" s="19">
        <f t="shared" si="1"/>
        <v>61</v>
      </c>
      <c r="H162" s="18">
        <f t="shared" si="2"/>
        <v>6122</v>
      </c>
      <c r="I162" s="15">
        <f t="shared" si="3"/>
        <v>100.36065573770492</v>
      </c>
    </row>
    <row r="163" spans="1:9" x14ac:dyDescent="0.25">
      <c r="A163" s="10" t="s">
        <v>21</v>
      </c>
      <c r="B163" s="15">
        <v>5404</v>
      </c>
      <c r="C163">
        <v>60</v>
      </c>
      <c r="F163" t="str">
        <f t="shared" si="0"/>
        <v>C0014</v>
      </c>
      <c r="G163" s="19">
        <f t="shared" si="1"/>
        <v>60</v>
      </c>
      <c r="H163" s="18">
        <f t="shared" si="2"/>
        <v>5404</v>
      </c>
      <c r="I163" s="15">
        <f t="shared" si="3"/>
        <v>90.066666666666663</v>
      </c>
    </row>
    <row r="164" spans="1:9" x14ac:dyDescent="0.25">
      <c r="A164" s="10" t="s">
        <v>19</v>
      </c>
      <c r="B164" s="15">
        <v>6518</v>
      </c>
      <c r="C164">
        <v>59</v>
      </c>
      <c r="F164" t="str">
        <f t="shared" si="0"/>
        <v>C0015</v>
      </c>
      <c r="G164" s="19">
        <f t="shared" si="1"/>
        <v>59</v>
      </c>
      <c r="H164" s="18">
        <f t="shared" si="2"/>
        <v>6518</v>
      </c>
      <c r="I164" s="15">
        <f t="shared" si="3"/>
        <v>110.47457627118644</v>
      </c>
    </row>
    <row r="165" spans="1:9" x14ac:dyDescent="0.25">
      <c r="A165" s="10" t="s">
        <v>5</v>
      </c>
      <c r="B165" s="15">
        <v>4972</v>
      </c>
      <c r="C165">
        <v>58</v>
      </c>
      <c r="F165" t="str">
        <f t="shared" si="0"/>
        <v>C0008</v>
      </c>
      <c r="G165" s="19">
        <f t="shared" si="1"/>
        <v>58</v>
      </c>
      <c r="H165" s="18">
        <f t="shared" si="2"/>
        <v>4972</v>
      </c>
      <c r="I165" s="15">
        <f t="shared" si="3"/>
        <v>85.724137931034477</v>
      </c>
    </row>
    <row r="166" spans="1:9" x14ac:dyDescent="0.25">
      <c r="A166" s="10" t="s">
        <v>20</v>
      </c>
      <c r="B166" s="15">
        <v>4758</v>
      </c>
      <c r="C166">
        <v>49</v>
      </c>
      <c r="F166" t="str">
        <f t="shared" si="0"/>
        <v>C0003</v>
      </c>
      <c r="G166" s="19">
        <f t="shared" si="1"/>
        <v>49</v>
      </c>
      <c r="H166" s="18">
        <f t="shared" si="2"/>
        <v>4758</v>
      </c>
      <c r="I166" s="15">
        <f t="shared" si="3"/>
        <v>97.102040816326536</v>
      </c>
    </row>
    <row r="167" spans="1:9" x14ac:dyDescent="0.25">
      <c r="A167" s="10" t="s">
        <v>1059</v>
      </c>
      <c r="B167" s="15">
        <v>96414</v>
      </c>
      <c r="C167">
        <v>995</v>
      </c>
    </row>
  </sheetData>
  <conditionalFormatting pivot="1" sqref="E117:K121">
    <cfRule type="colorScale" priority="7">
      <colorScale>
        <cfvo type="min"/>
        <cfvo type="percentile" val="50"/>
        <cfvo type="max"/>
        <color rgb="FFF8696B"/>
        <color rgb="FFFFEB84"/>
        <color rgb="FF63BE7B"/>
      </colorScale>
    </cfRule>
  </conditionalFormatting>
  <conditionalFormatting pivot="1" sqref="B130:F134">
    <cfRule type="colorScale" priority="6">
      <colorScale>
        <cfvo type="min"/>
        <cfvo type="max"/>
        <color rgb="FFFCFCFF"/>
        <color rgb="FF63BE7B"/>
      </colorScale>
    </cfRule>
  </conditionalFormatting>
  <conditionalFormatting pivot="1" sqref="B141:M145">
    <cfRule type="dataBar" priority="4">
      <dataBar>
        <cfvo type="min"/>
        <cfvo type="max"/>
        <color rgb="FF638EC6"/>
      </dataBar>
      <extLst>
        <ext xmlns:x14="http://schemas.microsoft.com/office/spreadsheetml/2009/9/main" uri="{B025F937-C7B1-47D3-B67F-A62EFF666E3E}">
          <x14:id>{191AA14D-C11C-4CE9-B2E0-CA27CBE0737F}</x14:id>
        </ext>
      </extLst>
    </cfRule>
  </conditionalFormatting>
  <conditionalFormatting sqref="I152:I166">
    <cfRule type="colorScale" priority="1">
      <colorScale>
        <cfvo type="min"/>
        <cfvo type="percentile" val="50"/>
        <cfvo type="max"/>
        <color rgb="FFF8696B"/>
        <color rgb="FFFFEB84"/>
        <color rgb="FF63BE7B"/>
      </colorScale>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pivot="1">
          <x14:cfRule type="dataBar" id="{191AA14D-C11C-4CE9-B2E0-CA27CBE0737F}">
            <x14:dataBar minLength="0" maxLength="100" gradient="0">
              <x14:cfvo type="autoMin"/>
              <x14:cfvo type="autoMax"/>
              <x14:negativeFillColor rgb="FFFF0000"/>
              <x14:axisColor rgb="FF000000"/>
            </x14:dataBar>
          </x14:cfRule>
          <xm:sqref>B141:M145</xm:sqref>
        </x14:conditionalFormatting>
      </x14:conditionalFormattings>
    </ex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CC9B-9B4D-4C6C-B851-BE098BEE2E20}">
  <dimension ref="A1:BG228"/>
  <sheetViews>
    <sheetView workbookViewId="0">
      <selection activeCell="Y9" sqref="Y9"/>
    </sheetView>
  </sheetViews>
  <sheetFormatPr defaultRowHeight="15" x14ac:dyDescent="0.25"/>
  <cols>
    <col min="1" max="1" width="3.5" customWidth="1"/>
    <col min="2" max="2" width="3" customWidth="1"/>
    <col min="17" max="17" width="14.25" customWidth="1"/>
    <col min="22" max="22" width="9" customWidth="1"/>
  </cols>
  <sheetData>
    <row r="1" spans="1:59" ht="36" customHeight="1" x14ac:dyDescent="0.55000000000000004">
      <c r="A1" s="44"/>
      <c r="B1" s="44"/>
      <c r="C1" s="53" t="s">
        <v>1165</v>
      </c>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row>
    <row r="2" spans="1:59" x14ac:dyDescent="0.25">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row>
    <row r="3" spans="1:59" x14ac:dyDescent="0.25">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row>
    <row r="4" spans="1:59" x14ac:dyDescent="0.25">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row>
    <row r="5" spans="1:59" x14ac:dyDescent="0.25">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row>
    <row r="6" spans="1:59" x14ac:dyDescent="0.25">
      <c r="A6" s="44"/>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row>
    <row r="7" spans="1:59" x14ac:dyDescent="0.25">
      <c r="A7" s="44"/>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row>
    <row r="8" spans="1:59" x14ac:dyDescent="0.25">
      <c r="A8" s="44"/>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row>
    <row r="9" spans="1:59" x14ac:dyDescent="0.25">
      <c r="A9" s="44"/>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row>
    <row r="10" spans="1:59" x14ac:dyDescent="0.25">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row>
    <row r="11" spans="1:59" x14ac:dyDescent="0.2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row>
    <row r="12" spans="1:59" x14ac:dyDescent="0.2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row>
    <row r="13" spans="1:59" x14ac:dyDescent="0.2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row>
    <row r="14" spans="1:59" x14ac:dyDescent="0.25">
      <c r="A14" s="44"/>
      <c r="B14" s="44"/>
      <c r="C14" s="44"/>
      <c r="D14" s="44"/>
      <c r="E14" s="44"/>
      <c r="F14" s="44"/>
      <c r="G14" s="44"/>
      <c r="H14" s="44"/>
      <c r="I14" s="45"/>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row>
    <row r="15" spans="1:59" x14ac:dyDescent="0.2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row>
    <row r="16" spans="1:59" x14ac:dyDescent="0.25">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row>
    <row r="17" spans="1:59" x14ac:dyDescent="0.25">
      <c r="A17" s="44"/>
      <c r="B17" s="44"/>
      <c r="C17" s="44"/>
      <c r="D17" s="44"/>
      <c r="E17" s="44"/>
      <c r="F17" s="44"/>
      <c r="G17" s="44"/>
      <c r="H17" s="44"/>
      <c r="I17" s="44"/>
      <c r="J17" s="44"/>
      <c r="K17" s="44"/>
      <c r="L17" s="44"/>
      <c r="M17" s="44"/>
      <c r="N17" s="44"/>
      <c r="O17" s="44"/>
      <c r="P17" s="47"/>
      <c r="Q17" s="51" t="str">
        <f>'Dashboard Pivots'!B109</f>
        <v>R01</v>
      </c>
      <c r="R17" s="51" t="str">
        <f>'Dashboard Pivots'!C109</f>
        <v>R02</v>
      </c>
      <c r="S17" s="51" t="str">
        <f>'Dashboard Pivots'!D109</f>
        <v>R03</v>
      </c>
      <c r="T17" s="51" t="str">
        <f>'Dashboard Pivots'!E109</f>
        <v>R04</v>
      </c>
      <c r="U17" s="51" t="str">
        <f>'Dashboard Pivots'!F109</f>
        <v>R05</v>
      </c>
      <c r="V17" s="51" t="s">
        <v>1164</v>
      </c>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row>
    <row r="18" spans="1:59" x14ac:dyDescent="0.25">
      <c r="A18" s="44"/>
      <c r="B18" s="44"/>
      <c r="C18" s="44"/>
      <c r="D18" s="44"/>
      <c r="E18" s="44"/>
      <c r="F18" s="44"/>
      <c r="G18" s="44"/>
      <c r="H18" s="44"/>
      <c r="I18" s="44"/>
      <c r="J18" s="44"/>
      <c r="K18" s="44"/>
      <c r="L18" s="44"/>
      <c r="M18" s="44"/>
      <c r="N18" s="44"/>
      <c r="O18" s="44"/>
      <c r="P18" s="52" t="str">
        <f>'Dashboard Pivots'!A110</f>
        <v>Cincinnati</v>
      </c>
      <c r="Q18" s="48"/>
      <c r="R18" s="48"/>
      <c r="S18" s="48"/>
      <c r="T18" s="48"/>
      <c r="U18" s="48"/>
      <c r="V18" s="48"/>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row>
    <row r="19" spans="1:59" x14ac:dyDescent="0.25">
      <c r="A19" s="44"/>
      <c r="B19" s="44"/>
      <c r="C19" s="44"/>
      <c r="D19" s="44"/>
      <c r="E19" s="44"/>
      <c r="F19" s="44"/>
      <c r="G19" s="44"/>
      <c r="H19" s="44"/>
      <c r="I19" s="44"/>
      <c r="J19" s="44"/>
      <c r="K19" s="44"/>
      <c r="L19" s="44"/>
      <c r="M19" s="44"/>
      <c r="N19" s="44"/>
      <c r="O19" s="44"/>
      <c r="P19" s="49" t="str">
        <f>'Dashboard Pivots'!A111</f>
        <v>C0003</v>
      </c>
      <c r="Q19" s="50">
        <f>'Dashboard Pivots'!B111</f>
        <v>891</v>
      </c>
      <c r="R19" s="50">
        <f>'Dashboard Pivots'!C111</f>
        <v>1286</v>
      </c>
      <c r="S19" s="50">
        <f>'Dashboard Pivots'!D111</f>
        <v>1282</v>
      </c>
      <c r="T19" s="50">
        <f>'Dashboard Pivots'!E111</f>
        <v>739</v>
      </c>
      <c r="U19" s="50">
        <f>'Dashboard Pivots'!F111</f>
        <v>560</v>
      </c>
      <c r="V19" s="50">
        <f>'Dashboard Pivots'!G111</f>
        <v>4758</v>
      </c>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row>
    <row r="20" spans="1:59" x14ac:dyDescent="0.25">
      <c r="A20" s="44"/>
      <c r="B20" s="44"/>
      <c r="C20" s="44"/>
      <c r="D20" s="44"/>
      <c r="E20" s="44"/>
      <c r="F20" s="44"/>
      <c r="G20" s="44"/>
      <c r="H20" s="44"/>
      <c r="I20" s="44"/>
      <c r="J20" s="44"/>
      <c r="K20" s="44"/>
      <c r="L20" s="44"/>
      <c r="M20" s="44"/>
      <c r="N20" s="44"/>
      <c r="O20" s="44"/>
      <c r="P20" s="49" t="str">
        <f>'Dashboard Pivots'!A112</f>
        <v>C0004</v>
      </c>
      <c r="Q20" s="50">
        <f>'Dashboard Pivots'!B112</f>
        <v>1991</v>
      </c>
      <c r="R20" s="50">
        <f>'Dashboard Pivots'!C112</f>
        <v>1886</v>
      </c>
      <c r="S20" s="50">
        <f>'Dashboard Pivots'!D112</f>
        <v>1206</v>
      </c>
      <c r="T20" s="50">
        <f>'Dashboard Pivots'!E112</f>
        <v>884</v>
      </c>
      <c r="U20" s="50">
        <f>'Dashboard Pivots'!F112</f>
        <v>1722</v>
      </c>
      <c r="V20" s="50">
        <f>'Dashboard Pivots'!G112</f>
        <v>7689</v>
      </c>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row>
    <row r="21" spans="1:59" x14ac:dyDescent="0.25">
      <c r="A21" s="44"/>
      <c r="B21" s="44"/>
      <c r="C21" s="44"/>
      <c r="D21" s="44"/>
      <c r="E21" s="44"/>
      <c r="F21" s="44"/>
      <c r="G21" s="44"/>
      <c r="H21" s="44"/>
      <c r="I21" s="44"/>
      <c r="J21" s="44"/>
      <c r="K21" s="44"/>
      <c r="L21" s="44"/>
      <c r="M21" s="44"/>
      <c r="N21" s="44"/>
      <c r="O21" s="44"/>
      <c r="P21" s="49" t="str">
        <f>'Dashboard Pivots'!A113</f>
        <v>C0011</v>
      </c>
      <c r="Q21" s="50">
        <f>'Dashboard Pivots'!B113</f>
        <v>1163</v>
      </c>
      <c r="R21" s="50">
        <f>'Dashboard Pivots'!C113</f>
        <v>1180</v>
      </c>
      <c r="S21" s="50">
        <f>'Dashboard Pivots'!D113</f>
        <v>1616</v>
      </c>
      <c r="T21" s="50">
        <f>'Dashboard Pivots'!E113</f>
        <v>1043</v>
      </c>
      <c r="U21" s="50">
        <f>'Dashboard Pivots'!F113</f>
        <v>1747</v>
      </c>
      <c r="V21" s="50">
        <f>'Dashboard Pivots'!G113</f>
        <v>6749</v>
      </c>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row>
    <row r="22" spans="1:59" x14ac:dyDescent="0.25">
      <c r="A22" s="44"/>
      <c r="B22" s="44"/>
      <c r="C22" s="44"/>
      <c r="D22" s="44"/>
      <c r="E22" s="44"/>
      <c r="F22" s="44"/>
      <c r="G22" s="44"/>
      <c r="H22" s="44"/>
      <c r="I22" s="44"/>
      <c r="J22" s="44"/>
      <c r="K22" s="44"/>
      <c r="L22" s="44"/>
      <c r="M22" s="44"/>
      <c r="N22" s="44"/>
      <c r="O22" s="44"/>
      <c r="P22" s="49" t="str">
        <f>'Dashboard Pivots'!A114</f>
        <v>C0012</v>
      </c>
      <c r="Q22" s="50">
        <f>'Dashboard Pivots'!B114</f>
        <v>1438</v>
      </c>
      <c r="R22" s="50">
        <f>'Dashboard Pivots'!C114</f>
        <v>1616</v>
      </c>
      <c r="S22" s="50">
        <f>'Dashboard Pivots'!D114</f>
        <v>866</v>
      </c>
      <c r="T22" s="50">
        <f>'Dashboard Pivots'!E114</f>
        <v>829</v>
      </c>
      <c r="U22" s="50">
        <f>'Dashboard Pivots'!F114</f>
        <v>2070</v>
      </c>
      <c r="V22" s="50">
        <f>'Dashboard Pivots'!G114</f>
        <v>6819</v>
      </c>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row>
    <row r="23" spans="1:59" x14ac:dyDescent="0.25">
      <c r="A23" s="44"/>
      <c r="B23" s="44"/>
      <c r="C23" s="44"/>
      <c r="D23" s="44"/>
      <c r="E23" s="44"/>
      <c r="F23" s="44"/>
      <c r="G23" s="44"/>
      <c r="H23" s="44"/>
      <c r="I23" s="44"/>
      <c r="J23" s="44"/>
      <c r="K23" s="44"/>
      <c r="L23" s="44"/>
      <c r="M23" s="44"/>
      <c r="N23" s="44"/>
      <c r="O23" s="44"/>
      <c r="P23" s="52" t="str">
        <f>'Dashboard Pivots'!A115</f>
        <v>Cleveland</v>
      </c>
      <c r="Q23" s="50"/>
      <c r="R23" s="50"/>
      <c r="S23" s="50"/>
      <c r="T23" s="50"/>
      <c r="U23" s="50"/>
      <c r="V23" s="50"/>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row>
    <row r="24" spans="1:59" x14ac:dyDescent="0.25">
      <c r="A24" s="44"/>
      <c r="B24" s="44"/>
      <c r="C24" s="44"/>
      <c r="D24" s="44"/>
      <c r="E24" s="44"/>
      <c r="F24" s="44"/>
      <c r="G24" s="44"/>
      <c r="H24" s="44"/>
      <c r="I24" s="44"/>
      <c r="J24" s="44"/>
      <c r="K24" s="44"/>
      <c r="L24" s="44"/>
      <c r="M24" s="44"/>
      <c r="N24" s="44"/>
      <c r="O24" s="44"/>
      <c r="P24" s="49" t="str">
        <f>'Dashboard Pivots'!A116</f>
        <v>C0002</v>
      </c>
      <c r="Q24" s="50">
        <f>'Dashboard Pivots'!B116</f>
        <v>1233</v>
      </c>
      <c r="R24" s="50">
        <f>'Dashboard Pivots'!C116</f>
        <v>223</v>
      </c>
      <c r="S24" s="50">
        <f>'Dashboard Pivots'!D116</f>
        <v>1680</v>
      </c>
      <c r="T24" s="50">
        <f>'Dashboard Pivots'!E116</f>
        <v>990</v>
      </c>
      <c r="U24" s="50">
        <f>'Dashboard Pivots'!F116</f>
        <v>1508</v>
      </c>
      <c r="V24" s="50">
        <f>'Dashboard Pivots'!G116</f>
        <v>5634</v>
      </c>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row>
    <row r="25" spans="1:59" x14ac:dyDescent="0.25">
      <c r="A25" s="44"/>
      <c r="B25" s="44"/>
      <c r="C25" s="44"/>
      <c r="D25" s="44"/>
      <c r="E25" s="44"/>
      <c r="F25" s="44"/>
      <c r="G25" s="44"/>
      <c r="H25" s="44"/>
      <c r="I25" s="44"/>
      <c r="J25" s="44"/>
      <c r="K25" s="44"/>
      <c r="L25" s="44"/>
      <c r="M25" s="44"/>
      <c r="N25" s="44"/>
      <c r="O25" s="44"/>
      <c r="P25" s="49" t="str">
        <f>'Dashboard Pivots'!A117</f>
        <v>C0007</v>
      </c>
      <c r="Q25" s="50">
        <f>'Dashboard Pivots'!B117</f>
        <v>1598</v>
      </c>
      <c r="R25" s="50">
        <f>'Dashboard Pivots'!C117</f>
        <v>1907</v>
      </c>
      <c r="S25" s="50">
        <f>'Dashboard Pivots'!D117</f>
        <v>869</v>
      </c>
      <c r="T25" s="50">
        <f>'Dashboard Pivots'!E117</f>
        <v>1426</v>
      </c>
      <c r="U25" s="50">
        <f>'Dashboard Pivots'!F117</f>
        <v>1416</v>
      </c>
      <c r="V25" s="50">
        <f>'Dashboard Pivots'!G117</f>
        <v>7216</v>
      </c>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row>
    <row r="26" spans="1:59" x14ac:dyDescent="0.25">
      <c r="A26" s="44"/>
      <c r="B26" s="44"/>
      <c r="C26" s="44"/>
      <c r="D26" s="44"/>
      <c r="E26" s="44"/>
      <c r="F26" s="44"/>
      <c r="G26" s="44"/>
      <c r="H26" s="44"/>
      <c r="I26" s="44"/>
      <c r="J26" s="44"/>
      <c r="K26" s="44"/>
      <c r="L26" s="44"/>
      <c r="M26" s="44"/>
      <c r="N26" s="44"/>
      <c r="O26" s="44"/>
      <c r="P26" s="49" t="str">
        <f>'Dashboard Pivots'!A118</f>
        <v>C0008</v>
      </c>
      <c r="Q26" s="50">
        <f>'Dashboard Pivots'!B118</f>
        <v>900</v>
      </c>
      <c r="R26" s="50">
        <f>'Dashboard Pivots'!C118</f>
        <v>1016</v>
      </c>
      <c r="S26" s="50">
        <f>'Dashboard Pivots'!D118</f>
        <v>960</v>
      </c>
      <c r="T26" s="50">
        <f>'Dashboard Pivots'!E118</f>
        <v>903</v>
      </c>
      <c r="U26" s="50">
        <f>'Dashboard Pivots'!F118</f>
        <v>1193</v>
      </c>
      <c r="V26" s="50">
        <f>'Dashboard Pivots'!G118</f>
        <v>4972</v>
      </c>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row>
    <row r="27" spans="1:59" x14ac:dyDescent="0.25">
      <c r="A27" s="44"/>
      <c r="B27" s="44"/>
      <c r="C27" s="44"/>
      <c r="D27" s="44"/>
      <c r="E27" s="44"/>
      <c r="F27" s="44"/>
      <c r="G27" s="44"/>
      <c r="H27" s="44"/>
      <c r="I27" s="44"/>
      <c r="J27" s="44"/>
      <c r="K27" s="44"/>
      <c r="L27" s="44"/>
      <c r="M27" s="44"/>
      <c r="N27" s="44"/>
      <c r="O27" s="44"/>
      <c r="P27" s="49" t="str">
        <f>'Dashboard Pivots'!A119</f>
        <v>C0010</v>
      </c>
      <c r="Q27" s="50">
        <f>'Dashboard Pivots'!B119</f>
        <v>900</v>
      </c>
      <c r="R27" s="50">
        <f>'Dashboard Pivots'!C119</f>
        <v>1470</v>
      </c>
      <c r="S27" s="50">
        <f>'Dashboard Pivots'!D119</f>
        <v>1617</v>
      </c>
      <c r="T27" s="50">
        <f>'Dashboard Pivots'!E119</f>
        <v>1314</v>
      </c>
      <c r="U27" s="50">
        <f>'Dashboard Pivots'!F119</f>
        <v>941</v>
      </c>
      <c r="V27" s="50">
        <f>'Dashboard Pivots'!G119</f>
        <v>6242</v>
      </c>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row>
    <row r="28" spans="1:59" x14ac:dyDescent="0.25">
      <c r="A28" s="44"/>
      <c r="B28" s="44"/>
      <c r="C28" s="44"/>
      <c r="D28" s="44"/>
      <c r="E28" s="44"/>
      <c r="F28" s="44"/>
      <c r="G28" s="44"/>
      <c r="H28" s="44"/>
      <c r="I28" s="44"/>
      <c r="J28" s="44"/>
      <c r="K28" s="44"/>
      <c r="L28" s="44"/>
      <c r="M28" s="44"/>
      <c r="N28" s="44"/>
      <c r="O28" s="44"/>
      <c r="P28" s="49" t="str">
        <f>'Dashboard Pivots'!A120</f>
        <v>C0013</v>
      </c>
      <c r="Q28" s="50">
        <f>'Dashboard Pivots'!B120</f>
        <v>1255</v>
      </c>
      <c r="R28" s="50">
        <f>'Dashboard Pivots'!C120</f>
        <v>516</v>
      </c>
      <c r="S28" s="50">
        <f>'Dashboard Pivots'!D120</f>
        <v>1874</v>
      </c>
      <c r="T28" s="50">
        <f>'Dashboard Pivots'!E120</f>
        <v>1863</v>
      </c>
      <c r="U28" s="50">
        <f>'Dashboard Pivots'!F120</f>
        <v>1722</v>
      </c>
      <c r="V28" s="50">
        <f>'Dashboard Pivots'!G120</f>
        <v>7230</v>
      </c>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row>
    <row r="29" spans="1:59" x14ac:dyDescent="0.25">
      <c r="A29" s="44"/>
      <c r="B29" s="44"/>
      <c r="C29" s="44"/>
      <c r="D29" s="44"/>
      <c r="E29" s="44"/>
      <c r="F29" s="44"/>
      <c r="G29" s="44"/>
      <c r="H29" s="44"/>
      <c r="I29" s="44"/>
      <c r="J29" s="44"/>
      <c r="K29" s="44"/>
      <c r="L29" s="44"/>
      <c r="M29" s="44"/>
      <c r="N29" s="44"/>
      <c r="O29" s="44"/>
      <c r="P29" s="49" t="str">
        <f>'Dashboard Pivots'!A121</f>
        <v>C0015</v>
      </c>
      <c r="Q29" s="50">
        <f>'Dashboard Pivots'!B121</f>
        <v>1138</v>
      </c>
      <c r="R29" s="50">
        <f>'Dashboard Pivots'!C121</f>
        <v>1898</v>
      </c>
      <c r="S29" s="50">
        <f>'Dashboard Pivots'!D121</f>
        <v>1482</v>
      </c>
      <c r="T29" s="50">
        <f>'Dashboard Pivots'!E121</f>
        <v>846</v>
      </c>
      <c r="U29" s="50">
        <f>'Dashboard Pivots'!F121</f>
        <v>1154</v>
      </c>
      <c r="V29" s="50">
        <f>'Dashboard Pivots'!G121</f>
        <v>6518</v>
      </c>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row>
    <row r="30" spans="1:59" x14ac:dyDescent="0.25">
      <c r="A30" s="44"/>
      <c r="B30" s="44"/>
      <c r="C30" s="44"/>
      <c r="D30" s="44"/>
      <c r="E30" s="44"/>
      <c r="F30" s="44"/>
      <c r="G30" s="44"/>
      <c r="H30" s="44"/>
      <c r="I30" s="44"/>
      <c r="J30" s="44"/>
      <c r="K30" s="44"/>
      <c r="L30" s="44"/>
      <c r="M30" s="44"/>
      <c r="N30" s="44"/>
      <c r="O30" s="44"/>
      <c r="P30" s="52" t="str">
        <f>'Dashboard Pivots'!A122</f>
        <v>Columbus</v>
      </c>
      <c r="Q30" s="50"/>
      <c r="R30" s="50"/>
      <c r="S30" s="50"/>
      <c r="T30" s="50"/>
      <c r="U30" s="50"/>
      <c r="V30" s="50"/>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row>
    <row r="31" spans="1:59" x14ac:dyDescent="0.25">
      <c r="A31" s="44"/>
      <c r="B31" s="44"/>
      <c r="C31" s="44"/>
      <c r="D31" s="44"/>
      <c r="E31" s="44"/>
      <c r="F31" s="44"/>
      <c r="G31" s="44"/>
      <c r="H31" s="44"/>
      <c r="I31" s="44"/>
      <c r="J31" s="44"/>
      <c r="K31" s="44"/>
      <c r="L31" s="44"/>
      <c r="M31" s="44"/>
      <c r="N31" s="44"/>
      <c r="O31" s="44"/>
      <c r="P31" s="49" t="str">
        <f>'Dashboard Pivots'!A123</f>
        <v>C0001</v>
      </c>
      <c r="Q31" s="50">
        <f>'Dashboard Pivots'!B123</f>
        <v>1655</v>
      </c>
      <c r="R31" s="50">
        <f>'Dashboard Pivots'!C123</f>
        <v>805</v>
      </c>
      <c r="S31" s="50">
        <f>'Dashboard Pivots'!D123</f>
        <v>2263</v>
      </c>
      <c r="T31" s="50">
        <f>'Dashboard Pivots'!E123</f>
        <v>987</v>
      </c>
      <c r="U31" s="50">
        <f>'Dashboard Pivots'!F123</f>
        <v>1075</v>
      </c>
      <c r="V31" s="50">
        <f>'Dashboard Pivots'!G123</f>
        <v>6785</v>
      </c>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row>
    <row r="32" spans="1:59" x14ac:dyDescent="0.25">
      <c r="A32" s="44"/>
      <c r="B32" s="44"/>
      <c r="C32" s="44"/>
      <c r="D32" s="44"/>
      <c r="E32" s="44"/>
      <c r="F32" s="44"/>
      <c r="G32" s="44"/>
      <c r="H32" s="44"/>
      <c r="I32" s="44"/>
      <c r="J32" s="44"/>
      <c r="K32" s="44"/>
      <c r="L32" s="44"/>
      <c r="M32" s="44"/>
      <c r="N32" s="44"/>
      <c r="O32" s="44"/>
      <c r="P32" s="49" t="str">
        <f>'Dashboard Pivots'!A124</f>
        <v>C0005</v>
      </c>
      <c r="Q32" s="50">
        <f>'Dashboard Pivots'!B124</f>
        <v>1104</v>
      </c>
      <c r="R32" s="50">
        <f>'Dashboard Pivots'!C124</f>
        <v>2280</v>
      </c>
      <c r="S32" s="50">
        <f>'Dashboard Pivots'!D124</f>
        <v>1445</v>
      </c>
      <c r="T32" s="50">
        <f>'Dashboard Pivots'!E124</f>
        <v>1722</v>
      </c>
      <c r="U32" s="50">
        <f>'Dashboard Pivots'!F124</f>
        <v>1196</v>
      </c>
      <c r="V32" s="50">
        <f>'Dashboard Pivots'!G124</f>
        <v>7747</v>
      </c>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row>
    <row r="33" spans="1:59" x14ac:dyDescent="0.25">
      <c r="A33" s="44"/>
      <c r="B33" s="44"/>
      <c r="C33" s="44"/>
      <c r="D33" s="44"/>
      <c r="E33" s="44"/>
      <c r="F33" s="44"/>
      <c r="G33" s="44"/>
      <c r="H33" s="44"/>
      <c r="I33" s="44"/>
      <c r="J33" s="44"/>
      <c r="K33" s="44"/>
      <c r="L33" s="44"/>
      <c r="M33" s="44"/>
      <c r="N33" s="44"/>
      <c r="O33" s="44"/>
      <c r="P33" s="49" t="str">
        <f>'Dashboard Pivots'!A125</f>
        <v>C0006</v>
      </c>
      <c r="Q33" s="50">
        <f>'Dashboard Pivots'!B125</f>
        <v>372</v>
      </c>
      <c r="R33" s="50">
        <f>'Dashboard Pivots'!C125</f>
        <v>1818</v>
      </c>
      <c r="S33" s="50">
        <f>'Dashboard Pivots'!D125</f>
        <v>1292</v>
      </c>
      <c r="T33" s="50">
        <f>'Dashboard Pivots'!E125</f>
        <v>1156</v>
      </c>
      <c r="U33" s="50">
        <f>'Dashboard Pivots'!F125</f>
        <v>1484</v>
      </c>
      <c r="V33" s="50">
        <f>'Dashboard Pivots'!G125</f>
        <v>6122</v>
      </c>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row>
    <row r="34" spans="1:59" x14ac:dyDescent="0.25">
      <c r="A34" s="44"/>
      <c r="B34" s="44"/>
      <c r="C34" s="44"/>
      <c r="D34" s="44"/>
      <c r="E34" s="44"/>
      <c r="F34" s="44"/>
      <c r="G34" s="44"/>
      <c r="H34" s="44"/>
      <c r="I34" s="44"/>
      <c r="J34" s="44"/>
      <c r="K34" s="44"/>
      <c r="L34" s="44"/>
      <c r="M34" s="44"/>
      <c r="N34" s="44"/>
      <c r="O34" s="44"/>
      <c r="P34" s="49" t="str">
        <f>'Dashboard Pivots'!A126</f>
        <v>C0009</v>
      </c>
      <c r="Q34" s="50">
        <f>'Dashboard Pivots'!B126</f>
        <v>1375</v>
      </c>
      <c r="R34" s="50">
        <f>'Dashboard Pivots'!C126</f>
        <v>1271</v>
      </c>
      <c r="S34" s="50">
        <f>'Dashboard Pivots'!D126</f>
        <v>1214</v>
      </c>
      <c r="T34" s="50">
        <f>'Dashboard Pivots'!E126</f>
        <v>1103</v>
      </c>
      <c r="U34" s="50">
        <f>'Dashboard Pivots'!F126</f>
        <v>1566</v>
      </c>
      <c r="V34" s="50">
        <f>'Dashboard Pivots'!G126</f>
        <v>6529</v>
      </c>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row>
    <row r="35" spans="1:59" x14ac:dyDescent="0.25">
      <c r="A35" s="44"/>
      <c r="B35" s="44"/>
      <c r="C35" s="44"/>
      <c r="D35" s="44"/>
      <c r="E35" s="44"/>
      <c r="F35" s="44"/>
      <c r="G35" s="44"/>
      <c r="H35" s="44"/>
      <c r="I35" s="44"/>
      <c r="J35" s="44"/>
      <c r="K35" s="44"/>
      <c r="L35" s="44"/>
      <c r="M35" s="44"/>
      <c r="N35" s="44"/>
      <c r="O35" s="44"/>
      <c r="P35" s="49" t="str">
        <f>'Dashboard Pivots'!A127</f>
        <v>C0014</v>
      </c>
      <c r="Q35" s="50">
        <f>'Dashboard Pivots'!B127</f>
        <v>1362</v>
      </c>
      <c r="R35" s="50">
        <f>'Dashboard Pivots'!C127</f>
        <v>1363</v>
      </c>
      <c r="S35" s="50">
        <f>'Dashboard Pivots'!D127</f>
        <v>1152</v>
      </c>
      <c r="T35" s="50">
        <f>'Dashboard Pivots'!E127</f>
        <v>777</v>
      </c>
      <c r="U35" s="50">
        <f>'Dashboard Pivots'!F127</f>
        <v>750</v>
      </c>
      <c r="V35" s="50">
        <f>'Dashboard Pivots'!G127</f>
        <v>5404</v>
      </c>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row>
    <row r="36" spans="1:59" x14ac:dyDescent="0.25">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row>
    <row r="37" spans="1:59" x14ac:dyDescent="0.25">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row>
    <row r="38" spans="1:59" x14ac:dyDescent="0.25">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row>
    <row r="39" spans="1:59" x14ac:dyDescent="0.25">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row>
    <row r="40" spans="1:59" x14ac:dyDescent="0.25">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row>
    <row r="41" spans="1:59" x14ac:dyDescent="0.25">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row>
    <row r="42" spans="1:59" x14ac:dyDescent="0.25">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row>
    <row r="43" spans="1:59" x14ac:dyDescent="0.25">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row>
    <row r="44" spans="1:59" x14ac:dyDescent="0.25">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row>
    <row r="45" spans="1:59" x14ac:dyDescent="0.2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row>
    <row r="46" spans="1:59" x14ac:dyDescent="0.25">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row>
    <row r="47" spans="1:59" x14ac:dyDescent="0.25">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row>
    <row r="48" spans="1:59" x14ac:dyDescent="0.25">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row>
    <row r="49" spans="1:59" x14ac:dyDescent="0.25">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row>
    <row r="50" spans="1:59" x14ac:dyDescent="0.25">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row>
    <row r="51" spans="1:59" x14ac:dyDescent="0.25">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row>
    <row r="52" spans="1:59" x14ac:dyDescent="0.25">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row>
    <row r="53" spans="1:59" x14ac:dyDescent="0.25">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row>
    <row r="54" spans="1:59" x14ac:dyDescent="0.25">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row>
    <row r="55" spans="1:59" x14ac:dyDescent="0.2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row>
    <row r="56" spans="1:59" x14ac:dyDescent="0.25">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row>
    <row r="57" spans="1:59" x14ac:dyDescent="0.25">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row>
    <row r="58" spans="1:59" x14ac:dyDescent="0.25">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row>
    <row r="59" spans="1:59" x14ac:dyDescent="0.25">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row>
    <row r="60" spans="1:59" x14ac:dyDescent="0.25">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row>
    <row r="61" spans="1:59" x14ac:dyDescent="0.25">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row>
    <row r="62" spans="1:59" x14ac:dyDescent="0.25">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row>
    <row r="63" spans="1:59" x14ac:dyDescent="0.25">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row>
    <row r="64" spans="1:59" x14ac:dyDescent="0.25">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row>
    <row r="65" spans="1:59" x14ac:dyDescent="0.2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row>
    <row r="66" spans="1:59" x14ac:dyDescent="0.25">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row>
    <row r="67" spans="1:59" x14ac:dyDescent="0.25">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row>
    <row r="68" spans="1:59" x14ac:dyDescent="0.25">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row>
    <row r="69" spans="1:59" x14ac:dyDescent="0.25">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row>
    <row r="70" spans="1:59" x14ac:dyDescent="0.25">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row>
    <row r="71" spans="1:59" x14ac:dyDescent="0.25">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row>
    <row r="72" spans="1:59" x14ac:dyDescent="0.25">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row>
    <row r="73" spans="1:59" x14ac:dyDescent="0.25">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row>
    <row r="74" spans="1:59" x14ac:dyDescent="0.25">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row>
    <row r="75" spans="1:59" x14ac:dyDescent="0.2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row>
    <row r="76" spans="1:59" x14ac:dyDescent="0.25">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row>
    <row r="77" spans="1:59" x14ac:dyDescent="0.25">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row>
    <row r="78" spans="1:59" x14ac:dyDescent="0.25">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row>
    <row r="79" spans="1:59" x14ac:dyDescent="0.25">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row>
    <row r="80" spans="1:59" x14ac:dyDescent="0.25">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row>
    <row r="81" spans="1:59" x14ac:dyDescent="0.25">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row>
    <row r="82" spans="1:59" x14ac:dyDescent="0.25">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row>
    <row r="83" spans="1:59" x14ac:dyDescent="0.25">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row>
    <row r="84" spans="1:59" x14ac:dyDescent="0.25">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row>
    <row r="85" spans="1:59" x14ac:dyDescent="0.2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row>
    <row r="86" spans="1:59" x14ac:dyDescent="0.25">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row>
    <row r="87" spans="1:59" x14ac:dyDescent="0.25">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row>
    <row r="88" spans="1:59" x14ac:dyDescent="0.25">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row>
    <row r="89" spans="1:59" x14ac:dyDescent="0.25">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row>
    <row r="90" spans="1:59" x14ac:dyDescent="0.25">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row>
    <row r="91" spans="1:59" x14ac:dyDescent="0.25">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row>
    <row r="92" spans="1:59" x14ac:dyDescent="0.25">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row>
    <row r="93" spans="1:59" x14ac:dyDescent="0.25">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row>
    <row r="94" spans="1:59" x14ac:dyDescent="0.25">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row>
    <row r="95" spans="1:59" x14ac:dyDescent="0.2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row>
    <row r="96" spans="1:59" x14ac:dyDescent="0.25">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row>
    <row r="97" spans="1:59" x14ac:dyDescent="0.25">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row>
    <row r="98" spans="1:59" x14ac:dyDescent="0.25">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row>
    <row r="99" spans="1:59" x14ac:dyDescent="0.25">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row>
    <row r="100" spans="1:59"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row>
    <row r="101" spans="1:59"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row>
    <row r="102" spans="1:59"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row>
    <row r="103" spans="1:59"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row>
    <row r="104" spans="1:59"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row>
    <row r="105" spans="1:59"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row>
    <row r="106" spans="1:59"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row>
    <row r="107" spans="1:59"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row>
    <row r="108" spans="1:59"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row>
    <row r="109" spans="1:59"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row>
    <row r="110" spans="1:59"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row>
    <row r="111" spans="1:59" x14ac:dyDescent="0.25">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row>
    <row r="112" spans="1:59" x14ac:dyDescent="0.25">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row>
    <row r="113" spans="1:59" x14ac:dyDescent="0.25">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row>
    <row r="114" spans="1:59" x14ac:dyDescent="0.25">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row>
    <row r="115" spans="1:59" x14ac:dyDescent="0.2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row>
    <row r="116" spans="1:59" x14ac:dyDescent="0.25">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row>
    <row r="117" spans="1:59" x14ac:dyDescent="0.25">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row>
    <row r="118" spans="1:59" x14ac:dyDescent="0.25">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row>
    <row r="119" spans="1:59" x14ac:dyDescent="0.25">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row>
    <row r="120" spans="1:59"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row>
    <row r="121" spans="1:59" x14ac:dyDescent="0.25">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row>
    <row r="122" spans="1:59" x14ac:dyDescent="0.25">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row>
    <row r="123" spans="1:59" x14ac:dyDescent="0.25">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row>
    <row r="124" spans="1:59" x14ac:dyDescent="0.25">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row>
    <row r="125" spans="1:59" x14ac:dyDescent="0.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row>
    <row r="126" spans="1:59" x14ac:dyDescent="0.25">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row>
    <row r="127" spans="1:59" x14ac:dyDescent="0.25">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row>
    <row r="128" spans="1:59" x14ac:dyDescent="0.25">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row>
    <row r="129" spans="1:59" x14ac:dyDescent="0.25">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row>
    <row r="130" spans="1:59" x14ac:dyDescent="0.25">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row>
    <row r="131" spans="1:59" x14ac:dyDescent="0.25">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row>
    <row r="132" spans="1:59" x14ac:dyDescent="0.25">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row>
    <row r="133" spans="1:59" x14ac:dyDescent="0.25">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row>
    <row r="134" spans="1:59" x14ac:dyDescent="0.25">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row>
    <row r="135" spans="1:59" x14ac:dyDescent="0.2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row>
    <row r="136" spans="1:59" x14ac:dyDescent="0.25">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row>
    <row r="137" spans="1:59" x14ac:dyDescent="0.25">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row>
    <row r="138" spans="1:59" x14ac:dyDescent="0.25">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row>
    <row r="139" spans="1:59" x14ac:dyDescent="0.25">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row>
    <row r="140" spans="1:59" x14ac:dyDescent="0.25">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row>
    <row r="141" spans="1:59" x14ac:dyDescent="0.25">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row>
    <row r="142" spans="1:59" x14ac:dyDescent="0.25">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row>
    <row r="143" spans="1:59" x14ac:dyDescent="0.25">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row>
    <row r="144" spans="1:59" x14ac:dyDescent="0.25">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row>
    <row r="145" spans="1:59" x14ac:dyDescent="0.2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row>
    <row r="146" spans="1:59" x14ac:dyDescent="0.25">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row>
    <row r="147" spans="1:59" x14ac:dyDescent="0.25">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row>
    <row r="148" spans="1:59" x14ac:dyDescent="0.25">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row>
    <row r="149" spans="1:59" x14ac:dyDescent="0.25">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row>
    <row r="150" spans="1:59" x14ac:dyDescent="0.25">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row>
    <row r="151" spans="1:59" x14ac:dyDescent="0.25">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row>
    <row r="152" spans="1:59" x14ac:dyDescent="0.25">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row>
    <row r="153" spans="1:59" x14ac:dyDescent="0.25">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row>
    <row r="154" spans="1:59" x14ac:dyDescent="0.25">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row>
    <row r="155" spans="1:59" x14ac:dyDescent="0.2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row>
    <row r="156" spans="1:59" x14ac:dyDescent="0.25">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row>
    <row r="157" spans="1:59" x14ac:dyDescent="0.25">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row>
    <row r="158" spans="1:59" x14ac:dyDescent="0.25">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row>
    <row r="159" spans="1:59" x14ac:dyDescent="0.25">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row>
    <row r="160" spans="1:59" x14ac:dyDescent="0.25">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row>
    <row r="161" spans="1:59" x14ac:dyDescent="0.25">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row>
    <row r="162" spans="1:59" x14ac:dyDescent="0.25">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row>
    <row r="163" spans="1:59" x14ac:dyDescent="0.25">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row>
    <row r="164" spans="1:59" x14ac:dyDescent="0.25">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row>
    <row r="165" spans="1:59" x14ac:dyDescent="0.2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row>
    <row r="166" spans="1:59" x14ac:dyDescent="0.25">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row>
    <row r="167" spans="1:59" x14ac:dyDescent="0.25">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row>
    <row r="168" spans="1:59" x14ac:dyDescent="0.25">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row>
    <row r="169" spans="1:59" x14ac:dyDescent="0.25">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row>
    <row r="170" spans="1:59" x14ac:dyDescent="0.25">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row>
    <row r="171" spans="1:59" x14ac:dyDescent="0.25">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row>
    <row r="172" spans="1:59" x14ac:dyDescent="0.25">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row>
    <row r="173" spans="1:59" x14ac:dyDescent="0.25">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row>
    <row r="174" spans="1:59" x14ac:dyDescent="0.25">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row>
    <row r="175" spans="1:59" x14ac:dyDescent="0.2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row>
    <row r="176" spans="1:59" x14ac:dyDescent="0.25">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row>
    <row r="177" spans="1:59" x14ac:dyDescent="0.25">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row>
    <row r="178" spans="1:59" x14ac:dyDescent="0.25">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row>
    <row r="179" spans="1:59" x14ac:dyDescent="0.25">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row>
    <row r="180" spans="1:59" x14ac:dyDescent="0.25">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row>
    <row r="181" spans="1:59" x14ac:dyDescent="0.25">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row>
    <row r="182" spans="1:59" x14ac:dyDescent="0.25">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row>
    <row r="183" spans="1:59" x14ac:dyDescent="0.25">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row>
    <row r="184" spans="1:59" x14ac:dyDescent="0.25">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row>
    <row r="185" spans="1:59" x14ac:dyDescent="0.2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row>
    <row r="186" spans="1:59" x14ac:dyDescent="0.25">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row>
    <row r="187" spans="1:59" x14ac:dyDescent="0.25">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row>
    <row r="188" spans="1:59" x14ac:dyDescent="0.25">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row>
    <row r="189" spans="1:59" x14ac:dyDescent="0.25">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row>
    <row r="190" spans="1:59" x14ac:dyDescent="0.25">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row>
    <row r="191" spans="1:59" x14ac:dyDescent="0.25">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row>
    <row r="192" spans="1:59" x14ac:dyDescent="0.25">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row>
    <row r="193" spans="1:59" x14ac:dyDescent="0.25">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row>
    <row r="194" spans="1:59" x14ac:dyDescent="0.25">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row>
    <row r="195" spans="1:59" x14ac:dyDescent="0.2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row>
    <row r="196" spans="1:59" x14ac:dyDescent="0.25">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row>
    <row r="197" spans="1:59"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row>
    <row r="198" spans="1:59" x14ac:dyDescent="0.25">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row>
    <row r="199" spans="1:59" x14ac:dyDescent="0.25">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c r="BG199" s="44"/>
    </row>
    <row r="200" spans="1:59" x14ac:dyDescent="0.25">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row>
    <row r="201" spans="1:59" x14ac:dyDescent="0.25">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row>
    <row r="202" spans="1:59" x14ac:dyDescent="0.25">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row>
    <row r="203" spans="1:59" x14ac:dyDescent="0.25">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row>
    <row r="204" spans="1:59" x14ac:dyDescent="0.25">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row>
    <row r="205" spans="1:59" x14ac:dyDescent="0.2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row>
    <row r="206" spans="1:59" x14ac:dyDescent="0.25">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row>
    <row r="207" spans="1:59" x14ac:dyDescent="0.25">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row>
    <row r="208" spans="1:59" x14ac:dyDescent="0.25">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row>
    <row r="209" spans="1:59" x14ac:dyDescent="0.25">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row>
    <row r="210" spans="1:59" x14ac:dyDescent="0.25">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row>
    <row r="211" spans="1:59" x14ac:dyDescent="0.25">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row>
    <row r="212" spans="1:59" x14ac:dyDescent="0.25">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row>
    <row r="213" spans="1:59" x14ac:dyDescent="0.25">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row>
    <row r="214" spans="1:59" x14ac:dyDescent="0.25">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row>
    <row r="215" spans="1:59" x14ac:dyDescent="0.2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row>
    <row r="216" spans="1:59" x14ac:dyDescent="0.25">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row>
    <row r="217" spans="1:59" x14ac:dyDescent="0.25">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row>
    <row r="218" spans="1:59" x14ac:dyDescent="0.25">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row>
    <row r="219" spans="1:59" x14ac:dyDescent="0.25">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row>
    <row r="220" spans="1:59"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row>
    <row r="221" spans="1:59"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row>
    <row r="222" spans="1:59"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row>
    <row r="223" spans="1:59"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row>
    <row r="224" spans="1:59"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row>
    <row r="225" spans="1:59"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row>
    <row r="226" spans="1:59"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row>
    <row r="227" spans="1:59"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row>
    <row r="228" spans="1:59"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row>
  </sheetData>
  <conditionalFormatting sqref="Q19:U35">
    <cfRule type="dataBar" priority="2">
      <dataBar>
        <cfvo type="num" val="0"/>
        <cfvo type="formula" val="MAX($Q$19:$U$35)*2"/>
        <color theme="1" tint="0.249977111117893"/>
      </dataBar>
      <extLst>
        <ext xmlns:x14="http://schemas.microsoft.com/office/spreadsheetml/2009/9/main" uri="{B025F937-C7B1-47D3-B67F-A62EFF666E3E}">
          <x14:id>{5DAAE2C1-81E4-464B-A9DB-EB030ABF631F}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8" id="{B6061A6A-9AE0-4DAF-90E5-3F9D65A9FCF1}">
            <xm:f>Q$17='Dashboard Pivots'!$A$52</xm:f>
            <x14:dxf>
              <fill>
                <patternFill>
                  <bgColor theme="4" tint="0.39994506668294322"/>
                </patternFill>
              </fill>
              <border>
                <left style="thin">
                  <color theme="1" tint="0.14996795556505021"/>
                </left>
                <right style="thin">
                  <color theme="1" tint="0.14996795556505021"/>
                </right>
                <vertical/>
                <horizontal/>
              </border>
            </x14:dxf>
          </x14:cfRule>
          <xm:sqref>Q17:U35</xm:sqref>
        </x14:conditionalFormatting>
        <x14:conditionalFormatting xmlns:xm="http://schemas.microsoft.com/office/excel/2006/main">
          <x14:cfRule type="dataBar" id="{5DAAE2C1-81E4-464B-A9DB-EB030ABF631F}">
            <x14:dataBar minLength="0" maxLength="100" gradient="0">
              <x14:cfvo type="num">
                <xm:f>0</xm:f>
              </x14:cfvo>
              <x14:cfvo type="formula">
                <xm:f>MAX($Q$19:$U$35)*2</xm:f>
              </x14:cfvo>
              <x14:negativeFillColor rgb="FFFF0000"/>
              <x14:axisColor rgb="FF000000"/>
            </x14:dataBar>
          </x14:cfRule>
          <xm:sqref>Q19:U35</xm:sqref>
        </x14:conditionalFormatting>
      </x14:conditionalFormattings>
    </ex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0F1C-8EDE-46B1-940E-7E9F1C508EE0}">
  <dimension ref="A3:J127"/>
  <sheetViews>
    <sheetView workbookViewId="0">
      <selection activeCell="J38" sqref="J38"/>
    </sheetView>
  </sheetViews>
  <sheetFormatPr defaultRowHeight="15" x14ac:dyDescent="0.25"/>
  <cols>
    <col min="1" max="1" width="12.625" bestFit="1" customWidth="1"/>
    <col min="2" max="2" width="10" bestFit="1" customWidth="1"/>
    <col min="3" max="3" width="11" bestFit="1" customWidth="1"/>
    <col min="4" max="4" width="13.625" bestFit="1" customWidth="1"/>
    <col min="5" max="5" width="10.5" bestFit="1" customWidth="1"/>
    <col min="6" max="6" width="6.375" bestFit="1" customWidth="1"/>
    <col min="7" max="7" width="10.875" bestFit="1" customWidth="1"/>
    <col min="8" max="8" width="12.625" bestFit="1" customWidth="1"/>
    <col min="9" max="9" width="10" bestFit="1" customWidth="1"/>
    <col min="10" max="10" width="11" bestFit="1" customWidth="1"/>
  </cols>
  <sheetData>
    <row r="3" spans="1:5" x14ac:dyDescent="0.25">
      <c r="A3" t="s">
        <v>1148</v>
      </c>
      <c r="B3" t="s">
        <v>1149</v>
      </c>
      <c r="C3" t="s">
        <v>1150</v>
      </c>
      <c r="D3" t="s">
        <v>1151</v>
      </c>
      <c r="E3" t="s">
        <v>1152</v>
      </c>
    </row>
    <row r="4" spans="1:5" x14ac:dyDescent="0.25">
      <c r="A4" s="42">
        <v>995</v>
      </c>
      <c r="B4" s="43">
        <v>96414</v>
      </c>
      <c r="C4" s="42">
        <v>89301</v>
      </c>
      <c r="D4" s="17">
        <v>3.8986934673366864</v>
      </c>
      <c r="E4" s="42">
        <v>248</v>
      </c>
    </row>
    <row r="8" spans="1:5" x14ac:dyDescent="0.25">
      <c r="A8" s="23" t="s">
        <v>1156</v>
      </c>
      <c r="B8" s="23"/>
      <c r="C8" s="23"/>
      <c r="D8" s="23"/>
      <c r="E8" s="23"/>
    </row>
    <row r="9" spans="1:5" x14ac:dyDescent="0.25">
      <c r="A9" t="s">
        <v>1148</v>
      </c>
      <c r="B9" t="s">
        <v>1149</v>
      </c>
      <c r="C9" t="s">
        <v>1150</v>
      </c>
      <c r="D9" t="s">
        <v>1151</v>
      </c>
      <c r="E9" t="s">
        <v>1152</v>
      </c>
    </row>
    <row r="10" spans="1:5" x14ac:dyDescent="0.25">
      <c r="A10" s="42">
        <v>188</v>
      </c>
      <c r="B10" s="43">
        <v>18375</v>
      </c>
      <c r="C10" s="42">
        <v>16720</v>
      </c>
      <c r="D10" s="17">
        <v>3.9228723404255339</v>
      </c>
      <c r="E10" s="42">
        <v>48</v>
      </c>
    </row>
    <row r="17" spans="1:9" x14ac:dyDescent="0.25">
      <c r="A17" s="23" t="s">
        <v>1154</v>
      </c>
      <c r="B17" s="23"/>
      <c r="C17" s="23"/>
      <c r="H17" s="23" t="s">
        <v>1155</v>
      </c>
      <c r="I17" s="23"/>
    </row>
    <row r="18" spans="1:9" x14ac:dyDescent="0.25">
      <c r="A18" s="9" t="s">
        <v>1058</v>
      </c>
      <c r="B18" t="s">
        <v>1148</v>
      </c>
      <c r="C18" t="s">
        <v>1153</v>
      </c>
      <c r="H18" s="9" t="s">
        <v>1058</v>
      </c>
      <c r="I18" t="s">
        <v>1148</v>
      </c>
    </row>
    <row r="19" spans="1:9" x14ac:dyDescent="0.25">
      <c r="A19" s="10" t="s">
        <v>1082</v>
      </c>
      <c r="B19" s="42">
        <v>16</v>
      </c>
      <c r="C19" s="42">
        <v>16</v>
      </c>
      <c r="H19" s="10" t="s">
        <v>1040</v>
      </c>
      <c r="I19" s="42">
        <v>35</v>
      </c>
    </row>
    <row r="20" spans="1:9" x14ac:dyDescent="0.25">
      <c r="A20" s="10" t="s">
        <v>1083</v>
      </c>
      <c r="B20" s="42">
        <v>14</v>
      </c>
      <c r="C20" s="42">
        <v>14</v>
      </c>
      <c r="H20" s="10" t="s">
        <v>1041</v>
      </c>
      <c r="I20" s="42">
        <v>30</v>
      </c>
    </row>
    <row r="21" spans="1:9" x14ac:dyDescent="0.25">
      <c r="A21" s="10" t="s">
        <v>1084</v>
      </c>
      <c r="B21" s="42">
        <v>26</v>
      </c>
      <c r="C21" s="42">
        <v>26</v>
      </c>
      <c r="H21" s="10" t="s">
        <v>1042</v>
      </c>
      <c r="I21" s="42">
        <v>13</v>
      </c>
    </row>
    <row r="22" spans="1:9" x14ac:dyDescent="0.25">
      <c r="A22" s="10" t="s">
        <v>1085</v>
      </c>
      <c r="B22" s="42">
        <v>29</v>
      </c>
      <c r="C22" s="42">
        <v>29</v>
      </c>
      <c r="H22" s="10" t="s">
        <v>1043</v>
      </c>
      <c r="I22" s="42">
        <v>23</v>
      </c>
    </row>
    <row r="23" spans="1:9" x14ac:dyDescent="0.25">
      <c r="A23" s="10" t="s">
        <v>1050</v>
      </c>
      <c r="B23" s="42">
        <v>17</v>
      </c>
      <c r="C23" s="42">
        <v>17</v>
      </c>
      <c r="H23" s="10" t="s">
        <v>1044</v>
      </c>
      <c r="I23" s="42">
        <v>23</v>
      </c>
    </row>
    <row r="24" spans="1:9" x14ac:dyDescent="0.25">
      <c r="A24" s="10" t="s">
        <v>1086</v>
      </c>
      <c r="B24" s="42">
        <v>15</v>
      </c>
      <c r="C24" s="42">
        <v>15</v>
      </c>
      <c r="H24" s="10" t="s">
        <v>1045</v>
      </c>
      <c r="I24" s="42">
        <v>24</v>
      </c>
    </row>
    <row r="25" spans="1:9" x14ac:dyDescent="0.25">
      <c r="A25" s="10" t="s">
        <v>1087</v>
      </c>
      <c r="B25" s="42">
        <v>15</v>
      </c>
      <c r="C25" s="42">
        <v>15</v>
      </c>
      <c r="H25" s="10" t="s">
        <v>1046</v>
      </c>
      <c r="I25" s="42">
        <v>40</v>
      </c>
    </row>
    <row r="26" spans="1:9" x14ac:dyDescent="0.25">
      <c r="A26" s="10" t="s">
        <v>1088</v>
      </c>
      <c r="B26" s="42">
        <v>7</v>
      </c>
      <c r="C26" s="42">
        <v>7</v>
      </c>
      <c r="H26" s="10" t="s">
        <v>1059</v>
      </c>
      <c r="I26" s="42">
        <v>188</v>
      </c>
    </row>
    <row r="27" spans="1:9" x14ac:dyDescent="0.25">
      <c r="A27" s="10" t="s">
        <v>1089</v>
      </c>
      <c r="B27" s="42">
        <v>11</v>
      </c>
      <c r="C27" s="42">
        <v>11</v>
      </c>
    </row>
    <row r="28" spans="1:9" x14ac:dyDescent="0.25">
      <c r="A28" s="10" t="s">
        <v>1090</v>
      </c>
      <c r="B28" s="42">
        <v>24</v>
      </c>
      <c r="C28" s="42">
        <v>24</v>
      </c>
    </row>
    <row r="29" spans="1:9" x14ac:dyDescent="0.25">
      <c r="A29" s="10" t="s">
        <v>1091</v>
      </c>
      <c r="B29" s="42">
        <v>9</v>
      </c>
      <c r="C29" s="42">
        <v>9</v>
      </c>
    </row>
    <row r="30" spans="1:9" x14ac:dyDescent="0.25">
      <c r="A30" s="10" t="s">
        <v>1092</v>
      </c>
      <c r="B30" s="42">
        <v>5</v>
      </c>
      <c r="C30" s="42">
        <v>5</v>
      </c>
    </row>
    <row r="31" spans="1:9" x14ac:dyDescent="0.25">
      <c r="A31" s="10" t="s">
        <v>1059</v>
      </c>
      <c r="B31" s="42">
        <v>188</v>
      </c>
      <c r="C31" s="42">
        <v>188</v>
      </c>
    </row>
    <row r="38" spans="1:10" x14ac:dyDescent="0.25">
      <c r="I38" s="29" t="s">
        <v>1163</v>
      </c>
      <c r="J38" t="str">
        <f>A52</f>
        <v>R01</v>
      </c>
    </row>
    <row r="39" spans="1:10" x14ac:dyDescent="0.25">
      <c r="A39" s="23" t="s">
        <v>1157</v>
      </c>
      <c r="B39" s="23"/>
      <c r="C39" s="23"/>
      <c r="F39" s="23" t="s">
        <v>1158</v>
      </c>
      <c r="G39" s="23"/>
      <c r="H39" s="23"/>
      <c r="I39" s="23"/>
      <c r="J39" s="23"/>
    </row>
    <row r="40" spans="1:10" x14ac:dyDescent="0.25">
      <c r="A40" s="9" t="s">
        <v>1058</v>
      </c>
      <c r="B40" t="s">
        <v>1148</v>
      </c>
      <c r="C40" t="s">
        <v>1149</v>
      </c>
      <c r="F40" s="29" t="s">
        <v>1159</v>
      </c>
      <c r="G40" s="29" t="s">
        <v>1096</v>
      </c>
      <c r="H40" s="29" t="s">
        <v>1160</v>
      </c>
      <c r="I40" s="29" t="s">
        <v>1161</v>
      </c>
      <c r="J40" s="29" t="s">
        <v>1162</v>
      </c>
    </row>
    <row r="41" spans="1:10" x14ac:dyDescent="0.25">
      <c r="A41" s="10" t="s">
        <v>11</v>
      </c>
      <c r="B41" s="42">
        <v>188</v>
      </c>
      <c r="C41" s="43">
        <v>18375</v>
      </c>
      <c r="F41" t="str" cm="1">
        <f t="array" ref="F41:H45">A41:C45</f>
        <v>R01</v>
      </c>
      <c r="G41">
        <v>188</v>
      </c>
      <c r="H41" s="46">
        <v>18375</v>
      </c>
      <c r="I41">
        <f>IF(F41=$J$38,G41,NA())</f>
        <v>188</v>
      </c>
      <c r="J41">
        <f>IF(F41=$J$38,H41,NA())</f>
        <v>18375</v>
      </c>
    </row>
    <row r="42" spans="1:10" x14ac:dyDescent="0.25">
      <c r="A42" s="10" t="s">
        <v>9</v>
      </c>
      <c r="B42" s="42">
        <v>217</v>
      </c>
      <c r="C42" s="43">
        <v>20535</v>
      </c>
      <c r="F42" t="str">
        <v>R02</v>
      </c>
      <c r="G42">
        <v>217</v>
      </c>
      <c r="H42" s="46">
        <v>20535</v>
      </c>
      <c r="I42" t="e">
        <f t="shared" ref="I42:I45" si="0">IF(F42=$J$38,G42,NA())</f>
        <v>#N/A</v>
      </c>
      <c r="J42" t="e">
        <f t="shared" ref="J42:J45" si="1">IF(F42=$J$38,H42,NA())</f>
        <v>#N/A</v>
      </c>
    </row>
    <row r="43" spans="1:10" x14ac:dyDescent="0.25">
      <c r="A43" s="10" t="s">
        <v>6</v>
      </c>
      <c r="B43" s="42">
        <v>206</v>
      </c>
      <c r="C43" s="43">
        <v>20818</v>
      </c>
      <c r="F43" t="str">
        <v>R03</v>
      </c>
      <c r="G43">
        <v>206</v>
      </c>
      <c r="H43" s="46">
        <v>20818</v>
      </c>
      <c r="I43" t="e">
        <f t="shared" si="0"/>
        <v>#N/A</v>
      </c>
      <c r="J43" t="e">
        <f t="shared" si="1"/>
        <v>#N/A</v>
      </c>
    </row>
    <row r="44" spans="1:10" x14ac:dyDescent="0.25">
      <c r="A44" s="10" t="s">
        <v>13</v>
      </c>
      <c r="B44" s="42">
        <v>184</v>
      </c>
      <c r="C44" s="43">
        <v>16582</v>
      </c>
      <c r="F44" t="str">
        <v>R04</v>
      </c>
      <c r="G44">
        <v>184</v>
      </c>
      <c r="H44" s="46">
        <v>16582</v>
      </c>
      <c r="I44" t="e">
        <f t="shared" si="0"/>
        <v>#N/A</v>
      </c>
      <c r="J44" t="e">
        <f t="shared" si="1"/>
        <v>#N/A</v>
      </c>
    </row>
    <row r="45" spans="1:10" x14ac:dyDescent="0.25">
      <c r="A45" s="10" t="s">
        <v>10</v>
      </c>
      <c r="B45" s="42">
        <v>200</v>
      </c>
      <c r="C45" s="43">
        <v>20104</v>
      </c>
      <c r="F45" t="str">
        <v>R05</v>
      </c>
      <c r="G45">
        <v>200</v>
      </c>
      <c r="H45" s="46">
        <v>20104</v>
      </c>
      <c r="I45" t="e">
        <f t="shared" si="0"/>
        <v>#N/A</v>
      </c>
      <c r="J45" t="e">
        <f t="shared" si="1"/>
        <v>#N/A</v>
      </c>
    </row>
    <row r="46" spans="1:10" x14ac:dyDescent="0.25">
      <c r="A46" s="10" t="s">
        <v>1059</v>
      </c>
      <c r="B46" s="42">
        <v>995</v>
      </c>
      <c r="C46" s="43">
        <v>96414</v>
      </c>
    </row>
    <row r="51" spans="1:1" x14ac:dyDescent="0.25">
      <c r="A51" s="9" t="s">
        <v>1058</v>
      </c>
    </row>
    <row r="52" spans="1:1" x14ac:dyDescent="0.25">
      <c r="A52" s="10" t="s">
        <v>11</v>
      </c>
    </row>
    <row r="66" spans="1:4" x14ac:dyDescent="0.25">
      <c r="A66" s="9" t="s">
        <v>1148</v>
      </c>
      <c r="B66" s="9" t="s">
        <v>1073</v>
      </c>
    </row>
    <row r="67" spans="1:4" x14ac:dyDescent="0.25">
      <c r="A67" s="9" t="s">
        <v>1058</v>
      </c>
      <c r="B67" t="s">
        <v>1147</v>
      </c>
      <c r="C67" t="s">
        <v>1143</v>
      </c>
      <c r="D67" t="s">
        <v>1059</v>
      </c>
    </row>
    <row r="68" spans="1:4" x14ac:dyDescent="0.25">
      <c r="A68" s="10" t="s">
        <v>1146</v>
      </c>
      <c r="B68" s="42">
        <v>144</v>
      </c>
      <c r="C68" s="42">
        <v>131</v>
      </c>
      <c r="D68" s="42">
        <v>275</v>
      </c>
    </row>
    <row r="69" spans="1:4" x14ac:dyDescent="0.25">
      <c r="A69" s="10" t="s">
        <v>1145</v>
      </c>
      <c r="B69" s="42">
        <v>325</v>
      </c>
      <c r="C69" s="42">
        <v>63</v>
      </c>
      <c r="D69" s="42">
        <v>388</v>
      </c>
    </row>
    <row r="70" spans="1:4" x14ac:dyDescent="0.25">
      <c r="A70" s="10" t="s">
        <v>1144</v>
      </c>
      <c r="B70" s="42">
        <v>127</v>
      </c>
      <c r="C70" s="42">
        <v>205</v>
      </c>
      <c r="D70" s="42">
        <v>332</v>
      </c>
    </row>
    <row r="71" spans="1:4" x14ac:dyDescent="0.25">
      <c r="A71" s="10" t="s">
        <v>1059</v>
      </c>
      <c r="B71" s="42">
        <v>596</v>
      </c>
      <c r="C71" s="42">
        <v>399</v>
      </c>
      <c r="D71" s="42">
        <v>995</v>
      </c>
    </row>
    <row r="81" spans="1:2" x14ac:dyDescent="0.25">
      <c r="A81" s="9" t="s">
        <v>1058</v>
      </c>
      <c r="B81" t="s">
        <v>1148</v>
      </c>
    </row>
    <row r="82" spans="1:2" x14ac:dyDescent="0.25">
      <c r="A82" s="10">
        <v>1</v>
      </c>
      <c r="B82" s="42">
        <v>1</v>
      </c>
    </row>
    <row r="83" spans="1:2" x14ac:dyDescent="0.25">
      <c r="A83" s="10">
        <v>2</v>
      </c>
      <c r="B83" s="42">
        <v>9</v>
      </c>
    </row>
    <row r="84" spans="1:2" x14ac:dyDescent="0.25">
      <c r="A84" s="10">
        <v>3</v>
      </c>
      <c r="B84" s="42">
        <v>31</v>
      </c>
    </row>
    <row r="85" spans="1:2" x14ac:dyDescent="0.25">
      <c r="A85" s="10">
        <v>4</v>
      </c>
      <c r="B85" s="42">
        <v>99</v>
      </c>
    </row>
    <row r="86" spans="1:2" x14ac:dyDescent="0.25">
      <c r="A86" s="10">
        <v>5</v>
      </c>
      <c r="B86" s="42">
        <v>48</v>
      </c>
    </row>
    <row r="87" spans="1:2" x14ac:dyDescent="0.25">
      <c r="A87" s="10" t="s">
        <v>1059</v>
      </c>
      <c r="B87" s="42">
        <v>188</v>
      </c>
    </row>
    <row r="108" spans="1:7" x14ac:dyDescent="0.25">
      <c r="A108" s="9" t="s">
        <v>1149</v>
      </c>
      <c r="B108" s="9" t="s">
        <v>1073</v>
      </c>
    </row>
    <row r="109" spans="1:7" x14ac:dyDescent="0.25">
      <c r="A109" s="9" t="s">
        <v>1058</v>
      </c>
      <c r="B109" t="s">
        <v>11</v>
      </c>
      <c r="C109" t="s">
        <v>9</v>
      </c>
      <c r="D109" t="s">
        <v>6</v>
      </c>
      <c r="E109" t="s">
        <v>13</v>
      </c>
      <c r="F109" t="s">
        <v>10</v>
      </c>
      <c r="G109" t="s">
        <v>1059</v>
      </c>
    </row>
    <row r="110" spans="1:7" x14ac:dyDescent="0.25">
      <c r="A110" s="10" t="s">
        <v>1146</v>
      </c>
    </row>
    <row r="111" spans="1:7" x14ac:dyDescent="0.25">
      <c r="A111" s="11" t="s">
        <v>20</v>
      </c>
      <c r="B111" s="43">
        <v>891</v>
      </c>
      <c r="C111" s="43">
        <v>1286</v>
      </c>
      <c r="D111" s="43">
        <v>1282</v>
      </c>
      <c r="E111" s="43">
        <v>739</v>
      </c>
      <c r="F111" s="43">
        <v>560</v>
      </c>
      <c r="G111" s="43">
        <v>4758</v>
      </c>
    </row>
    <row r="112" spans="1:7" x14ac:dyDescent="0.25">
      <c r="A112" s="11" t="s">
        <v>12</v>
      </c>
      <c r="B112" s="43">
        <v>1991</v>
      </c>
      <c r="C112" s="43">
        <v>1886</v>
      </c>
      <c r="D112" s="43">
        <v>1206</v>
      </c>
      <c r="E112" s="43">
        <v>884</v>
      </c>
      <c r="F112" s="43">
        <v>1722</v>
      </c>
      <c r="G112" s="43">
        <v>7689</v>
      </c>
    </row>
    <row r="113" spans="1:7" x14ac:dyDescent="0.25">
      <c r="A113" s="11" t="s">
        <v>8</v>
      </c>
      <c r="B113" s="43">
        <v>1163</v>
      </c>
      <c r="C113" s="43">
        <v>1180</v>
      </c>
      <c r="D113" s="43">
        <v>1616</v>
      </c>
      <c r="E113" s="43">
        <v>1043</v>
      </c>
      <c r="F113" s="43">
        <v>1747</v>
      </c>
      <c r="G113" s="43">
        <v>6749</v>
      </c>
    </row>
    <row r="114" spans="1:7" x14ac:dyDescent="0.25">
      <c r="A114" s="11" t="s">
        <v>16</v>
      </c>
      <c r="B114" s="43">
        <v>1438</v>
      </c>
      <c r="C114" s="43">
        <v>1616</v>
      </c>
      <c r="D114" s="43">
        <v>866</v>
      </c>
      <c r="E114" s="43">
        <v>829</v>
      </c>
      <c r="F114" s="43">
        <v>2070</v>
      </c>
      <c r="G114" s="43">
        <v>6819</v>
      </c>
    </row>
    <row r="115" spans="1:7" x14ac:dyDescent="0.25">
      <c r="A115" s="10" t="s">
        <v>1145</v>
      </c>
    </row>
    <row r="116" spans="1:7" x14ac:dyDescent="0.25">
      <c r="A116" s="11" t="s">
        <v>24</v>
      </c>
      <c r="B116" s="43">
        <v>1233</v>
      </c>
      <c r="C116" s="43">
        <v>223</v>
      </c>
      <c r="D116" s="43">
        <v>1680</v>
      </c>
      <c r="E116" s="43">
        <v>990</v>
      </c>
      <c r="F116" s="43">
        <v>1508</v>
      </c>
      <c r="G116" s="43">
        <v>5634</v>
      </c>
    </row>
    <row r="117" spans="1:7" x14ac:dyDescent="0.25">
      <c r="A117" s="11" t="s">
        <v>15</v>
      </c>
      <c r="B117" s="43">
        <v>1598</v>
      </c>
      <c r="C117" s="43">
        <v>1907</v>
      </c>
      <c r="D117" s="43">
        <v>869</v>
      </c>
      <c r="E117" s="43">
        <v>1426</v>
      </c>
      <c r="F117" s="43">
        <v>1416</v>
      </c>
      <c r="G117" s="43">
        <v>7216</v>
      </c>
    </row>
    <row r="118" spans="1:7" x14ac:dyDescent="0.25">
      <c r="A118" s="11" t="s">
        <v>5</v>
      </c>
      <c r="B118" s="43">
        <v>900</v>
      </c>
      <c r="C118" s="43">
        <v>1016</v>
      </c>
      <c r="D118" s="43">
        <v>960</v>
      </c>
      <c r="E118" s="43">
        <v>903</v>
      </c>
      <c r="F118" s="43">
        <v>1193</v>
      </c>
      <c r="G118" s="43">
        <v>4972</v>
      </c>
    </row>
    <row r="119" spans="1:7" x14ac:dyDescent="0.25">
      <c r="A119" s="11" t="s">
        <v>18</v>
      </c>
      <c r="B119" s="43">
        <v>900</v>
      </c>
      <c r="C119" s="43">
        <v>1470</v>
      </c>
      <c r="D119" s="43">
        <v>1617</v>
      </c>
      <c r="E119" s="43">
        <v>1314</v>
      </c>
      <c r="F119" s="43">
        <v>941</v>
      </c>
      <c r="G119" s="43">
        <v>6242</v>
      </c>
    </row>
    <row r="120" spans="1:7" x14ac:dyDescent="0.25">
      <c r="A120" s="11" t="s">
        <v>14</v>
      </c>
      <c r="B120" s="43">
        <v>1255</v>
      </c>
      <c r="C120" s="43">
        <v>516</v>
      </c>
      <c r="D120" s="43">
        <v>1874</v>
      </c>
      <c r="E120" s="43">
        <v>1863</v>
      </c>
      <c r="F120" s="43">
        <v>1722</v>
      </c>
      <c r="G120" s="43">
        <v>7230</v>
      </c>
    </row>
    <row r="121" spans="1:7" x14ac:dyDescent="0.25">
      <c r="A121" s="11" t="s">
        <v>19</v>
      </c>
      <c r="B121" s="43">
        <v>1138</v>
      </c>
      <c r="C121" s="43">
        <v>1898</v>
      </c>
      <c r="D121" s="43">
        <v>1482</v>
      </c>
      <c r="E121" s="43">
        <v>846</v>
      </c>
      <c r="F121" s="43">
        <v>1154</v>
      </c>
      <c r="G121" s="43">
        <v>6518</v>
      </c>
    </row>
    <row r="122" spans="1:7" x14ac:dyDescent="0.25">
      <c r="A122" s="10" t="s">
        <v>1144</v>
      </c>
    </row>
    <row r="123" spans="1:7" x14ac:dyDescent="0.25">
      <c r="A123" s="11" t="s">
        <v>17</v>
      </c>
      <c r="B123" s="43">
        <v>1655</v>
      </c>
      <c r="C123" s="43">
        <v>805</v>
      </c>
      <c r="D123" s="43">
        <v>2263</v>
      </c>
      <c r="E123" s="43">
        <v>987</v>
      </c>
      <c r="F123" s="43">
        <v>1075</v>
      </c>
      <c r="G123" s="43">
        <v>6785</v>
      </c>
    </row>
    <row r="124" spans="1:7" x14ac:dyDescent="0.25">
      <c r="A124" s="11" t="s">
        <v>23</v>
      </c>
      <c r="B124" s="43">
        <v>1104</v>
      </c>
      <c r="C124" s="43">
        <v>2280</v>
      </c>
      <c r="D124" s="43">
        <v>1445</v>
      </c>
      <c r="E124" s="43">
        <v>1722</v>
      </c>
      <c r="F124" s="43">
        <v>1196</v>
      </c>
      <c r="G124" s="43">
        <v>7747</v>
      </c>
    </row>
    <row r="125" spans="1:7" x14ac:dyDescent="0.25">
      <c r="A125" s="11" t="s">
        <v>7</v>
      </c>
      <c r="B125" s="43">
        <v>372</v>
      </c>
      <c r="C125" s="43">
        <v>1818</v>
      </c>
      <c r="D125" s="43">
        <v>1292</v>
      </c>
      <c r="E125" s="43">
        <v>1156</v>
      </c>
      <c r="F125" s="43">
        <v>1484</v>
      </c>
      <c r="G125" s="43">
        <v>6122</v>
      </c>
    </row>
    <row r="126" spans="1:7" x14ac:dyDescent="0.25">
      <c r="A126" s="11" t="s">
        <v>22</v>
      </c>
      <c r="B126" s="43">
        <v>1375</v>
      </c>
      <c r="C126" s="43">
        <v>1271</v>
      </c>
      <c r="D126" s="43">
        <v>1214</v>
      </c>
      <c r="E126" s="43">
        <v>1103</v>
      </c>
      <c r="F126" s="43">
        <v>1566</v>
      </c>
      <c r="G126" s="43">
        <v>6529</v>
      </c>
    </row>
    <row r="127" spans="1:7" x14ac:dyDescent="0.25">
      <c r="A127" s="11" t="s">
        <v>21</v>
      </c>
      <c r="B127" s="43">
        <v>1362</v>
      </c>
      <c r="C127" s="43">
        <v>1363</v>
      </c>
      <c r="D127" s="43">
        <v>1152</v>
      </c>
      <c r="E127" s="43">
        <v>777</v>
      </c>
      <c r="F127" s="43">
        <v>750</v>
      </c>
      <c r="G127" s="43">
        <v>5404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E4B0-C44A-4E99-A156-4D53D98F47EE}">
  <dimension ref="A1"/>
  <sheetViews>
    <sheetView workbookViewId="0">
      <selection activeCell="L23" sqref="L2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2D5C92-C101-4047-8833-88E8D1F61D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Call Table</vt:lpstr>
      <vt:lpstr>Customer Table</vt:lpstr>
      <vt:lpstr>Calculations</vt:lpstr>
      <vt:lpstr>Pivot Tables</vt:lpstr>
      <vt:lpstr>Dashboard Portfolio</vt:lpstr>
      <vt:lpstr>Dashboard Pivots</vt:lpstr>
      <vt:lpstr>Icons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Administrator</cp:lastModifiedBy>
  <dcterms:created xsi:type="dcterms:W3CDTF">2021-03-14T20:21:32Z</dcterms:created>
  <dcterms:modified xsi:type="dcterms:W3CDTF">2026-07-31T14:55:18Z</dcterms:modified>
</cp:coreProperties>
</file>